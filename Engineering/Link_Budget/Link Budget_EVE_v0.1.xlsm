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drawings/drawing8.xml" ContentType="application/vnd.openxmlformats-officedocument.drawing+xml"/>
  <Override PartName="/xl/comments9.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mc:AlternateContent xmlns:mc="http://schemas.openxmlformats.org/markup-compatibility/2006">
    <mc:Choice Requires="x15">
      <x15ac:absPath xmlns:x15ac="http://schemas.microsoft.com/office/spreadsheetml/2010/11/ac" url="/Users/abraxas3d/Documents/Documents - Silver Quarter/EVE/EVE_Link_Budget/"/>
    </mc:Choice>
  </mc:AlternateContent>
  <xr:revisionPtr revIDLastSave="0" documentId="8_{91B06A86-8D91-6141-9949-AEB7CF0D3CEE}" xr6:coauthVersionLast="47" xr6:coauthVersionMax="47" xr10:uidLastSave="{00000000-0000-0000-0000-000000000000}"/>
  <bookViews>
    <workbookView xWindow="4700" yWindow="2100" windowWidth="33640" windowHeight="18540" tabRatio="940" activeTab="3" xr2:uid="{00000000-000D-0000-FFFF-FFFF00000000}"/>
  </bookViews>
  <sheets>
    <sheet name="1-Title Page" sheetId="6" r:id="rId1"/>
    <sheet name="2-Amendment Log" sheetId="13" r:id="rId2"/>
    <sheet name="3-Link Scenario Planner" sheetId="16" r:id="rId3"/>
    <sheet name="4A-Orbit" sheetId="20" r:id="rId4"/>
    <sheet name="4B-Earth Stations" sheetId="19" r:id="rId5"/>
    <sheet name="5-Frequency" sheetId="10" r:id="rId6"/>
    <sheet name="6-SC TX &amp; RX Set-Up" sheetId="7" r:id="rId7"/>
    <sheet name="7-User Terminal Set-Up" sheetId="11" r:id="rId8"/>
    <sheet name="8-Uplink Budget" sheetId="5" r:id="rId9"/>
    <sheet name="9-Downlink Budget" sheetId="3" r:id="rId10"/>
    <sheet name="10A-Uplink DVBS2 ModCOD" sheetId="18" r:id="rId11"/>
    <sheet name="10B-Downlink DVBS2(X) ModCOD" sheetId="14" r:id="rId12"/>
    <sheet name="11A-ITU P618-6 Uplink" sheetId="17" r:id="rId13"/>
    <sheet name="11B- ITU P618-6 Downlink" sheetId="15" r:id="rId14"/>
    <sheet name="12-RX-TX Link Results" sheetId="8" r:id="rId15"/>
    <sheet name="13-System Block Diagram" sheetId="12" r:id="rId16"/>
    <sheet name="14-Orbit Shape Data" sheetId="2" r:id="rId17"/>
  </sheets>
  <definedNames>
    <definedName name="boltzmann">1.38E-23</definedName>
    <definedName name="lightspeed">299792458</definedName>
    <definedName name="pathloss">20*LOG10(4*PI()*distance/wavelength)</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5" i="11" l="1"/>
  <c r="C71" i="11"/>
  <c r="E41" i="20" l="1"/>
  <c r="E40" i="20"/>
  <c r="E39" i="20"/>
  <c r="E38" i="20"/>
  <c r="E37" i="20"/>
  <c r="E36" i="20"/>
  <c r="E35" i="20"/>
  <c r="E34" i="20"/>
  <c r="E33" i="20"/>
  <c r="E32" i="20"/>
  <c r="E31" i="20"/>
  <c r="E30" i="20"/>
  <c r="E29" i="20"/>
  <c r="E28" i="20"/>
  <c r="AB17" i="20" l="1"/>
  <c r="AB11" i="20"/>
  <c r="Y100" i="7"/>
  <c r="Y94" i="7"/>
  <c r="H57" i="16"/>
  <c r="H33" i="16"/>
  <c r="AJ18" i="12" l="1"/>
  <c r="AJ17" i="12"/>
  <c r="D10" i="15"/>
  <c r="D10" i="17"/>
  <c r="L12" i="10"/>
  <c r="L6" i="10"/>
  <c r="L211" i="7"/>
  <c r="M211" i="7" s="1"/>
  <c r="N211" i="7" s="1"/>
  <c r="O211" i="7" s="1"/>
  <c r="L210" i="7"/>
  <c r="M210" i="7" s="1"/>
  <c r="N210" i="7" s="1"/>
  <c r="O210" i="7" s="1"/>
  <c r="L209" i="7"/>
  <c r="M209" i="7" s="1"/>
  <c r="N209" i="7" s="1"/>
  <c r="O209" i="7" s="1"/>
  <c r="L208" i="7"/>
  <c r="M208" i="7" s="1"/>
  <c r="N208" i="7" s="1"/>
  <c r="O208" i="7" s="1"/>
  <c r="L207" i="7"/>
  <c r="M207" i="7" s="1"/>
  <c r="N207" i="7" s="1"/>
  <c r="O207" i="7" s="1"/>
  <c r="L206" i="7"/>
  <c r="M206" i="7" s="1"/>
  <c r="N206" i="7" s="1"/>
  <c r="O206" i="7" s="1"/>
  <c r="L205" i="7"/>
  <c r="M205" i="7" s="1"/>
  <c r="N205" i="7" s="1"/>
  <c r="O205" i="7" s="1"/>
  <c r="L204" i="7"/>
  <c r="M204" i="7" s="1"/>
  <c r="N204" i="7" s="1"/>
  <c r="O204" i="7" s="1"/>
  <c r="L203" i="7"/>
  <c r="M203" i="7" s="1"/>
  <c r="N203" i="7" s="1"/>
  <c r="O203" i="7" s="1"/>
  <c r="L202" i="7"/>
  <c r="M202" i="7" s="1"/>
  <c r="N202" i="7" s="1"/>
  <c r="O202" i="7" s="1"/>
  <c r="L201" i="7"/>
  <c r="M201" i="7" s="1"/>
  <c r="N201" i="7" s="1"/>
  <c r="O201" i="7" s="1"/>
  <c r="L200" i="7"/>
  <c r="M200" i="7" s="1"/>
  <c r="N200" i="7" s="1"/>
  <c r="O200" i="7" s="1"/>
  <c r="L199" i="7"/>
  <c r="M199" i="7" s="1"/>
  <c r="N199" i="7" s="1"/>
  <c r="O199" i="7" s="1"/>
  <c r="L198" i="7"/>
  <c r="M198" i="7" s="1"/>
  <c r="N198" i="7" s="1"/>
  <c r="O198" i="7" s="1"/>
  <c r="L197" i="7"/>
  <c r="M197" i="7" s="1"/>
  <c r="N197" i="7" s="1"/>
  <c r="O197" i="7" s="1"/>
  <c r="L196" i="7"/>
  <c r="M196" i="7" s="1"/>
  <c r="N196" i="7" s="1"/>
  <c r="O196" i="7" s="1"/>
  <c r="L195" i="7"/>
  <c r="M195" i="7" s="1"/>
  <c r="N195" i="7" s="1"/>
  <c r="O195" i="7" s="1"/>
  <c r="L194" i="7"/>
  <c r="M194" i="7" s="1"/>
  <c r="N194" i="7" s="1"/>
  <c r="O194" i="7" s="1"/>
  <c r="L193" i="7"/>
  <c r="M193" i="7" s="1"/>
  <c r="N193" i="7" s="1"/>
  <c r="O193" i="7" s="1"/>
  <c r="L192" i="7"/>
  <c r="M192" i="7" s="1"/>
  <c r="N192" i="7" s="1"/>
  <c r="O192" i="7" s="1"/>
  <c r="L191" i="7"/>
  <c r="M191" i="7" s="1"/>
  <c r="N191" i="7" s="1"/>
  <c r="O191" i="7" s="1"/>
  <c r="L190" i="7"/>
  <c r="M190" i="7" s="1"/>
  <c r="N190" i="7" s="1"/>
  <c r="O190" i="7" s="1"/>
  <c r="L189" i="7"/>
  <c r="M189" i="7" s="1"/>
  <c r="N189" i="7" s="1"/>
  <c r="O189" i="7" s="1"/>
  <c r="L188" i="7"/>
  <c r="M188" i="7" s="1"/>
  <c r="N188" i="7" s="1"/>
  <c r="O188" i="7" s="1"/>
  <c r="L187" i="7"/>
  <c r="M187" i="7" s="1"/>
  <c r="N187" i="7" s="1"/>
  <c r="O187" i="7" s="1"/>
  <c r="L186" i="7"/>
  <c r="M186" i="7" s="1"/>
  <c r="N186" i="7" s="1"/>
  <c r="O186" i="7" s="1"/>
  <c r="L185" i="7"/>
  <c r="M185" i="7" s="1"/>
  <c r="N185" i="7" s="1"/>
  <c r="O185" i="7" s="1"/>
  <c r="L184" i="7"/>
  <c r="M184" i="7" s="1"/>
  <c r="N184" i="7" s="1"/>
  <c r="O184" i="7" s="1"/>
  <c r="L183" i="7"/>
  <c r="M183" i="7" s="1"/>
  <c r="N183" i="7" s="1"/>
  <c r="O183" i="7" s="1"/>
  <c r="L182" i="7"/>
  <c r="M182" i="7" s="1"/>
  <c r="N182" i="7" s="1"/>
  <c r="O182" i="7" s="1"/>
  <c r="L181" i="7"/>
  <c r="M181" i="7" s="1"/>
  <c r="N181" i="7" s="1"/>
  <c r="O181" i="7" s="1"/>
  <c r="L180" i="7"/>
  <c r="M180" i="7" s="1"/>
  <c r="N180" i="7" s="1"/>
  <c r="O180" i="7" s="1"/>
  <c r="L179" i="7"/>
  <c r="M179" i="7" s="1"/>
  <c r="N179" i="7" s="1"/>
  <c r="O179" i="7" s="1"/>
  <c r="L178" i="7"/>
  <c r="M178" i="7" s="1"/>
  <c r="N178" i="7" s="1"/>
  <c r="O178" i="7" s="1"/>
  <c r="L177" i="7"/>
  <c r="M177" i="7" s="1"/>
  <c r="N177" i="7" s="1"/>
  <c r="O177" i="7" s="1"/>
  <c r="L176" i="7"/>
  <c r="M176" i="7" s="1"/>
  <c r="N176" i="7" s="1"/>
  <c r="O176" i="7" s="1"/>
  <c r="L175" i="7"/>
  <c r="M175" i="7" s="1"/>
  <c r="N175" i="7" s="1"/>
  <c r="O175" i="7" s="1"/>
  <c r="L174" i="7"/>
  <c r="M174" i="7" s="1"/>
  <c r="N174" i="7" s="1"/>
  <c r="O174" i="7" s="1"/>
  <c r="L173" i="7"/>
  <c r="M173" i="7" s="1"/>
  <c r="N173" i="7" s="1"/>
  <c r="O173" i="7" s="1"/>
  <c r="L172" i="7"/>
  <c r="M172" i="7" s="1"/>
  <c r="N172" i="7" s="1"/>
  <c r="O172" i="7" s="1"/>
  <c r="L171" i="7"/>
  <c r="M171" i="7" s="1"/>
  <c r="N171" i="7" s="1"/>
  <c r="O171" i="7" s="1"/>
  <c r="L170" i="7"/>
  <c r="M170" i="7" s="1"/>
  <c r="N170" i="7" s="1"/>
  <c r="O170" i="7" s="1"/>
  <c r="L169" i="7"/>
  <c r="M169" i="7" s="1"/>
  <c r="N169" i="7" s="1"/>
  <c r="O169" i="7" s="1"/>
  <c r="L168" i="7"/>
  <c r="M168" i="7" s="1"/>
  <c r="N168" i="7" s="1"/>
  <c r="O168" i="7" s="1"/>
  <c r="L167" i="7"/>
  <c r="M167" i="7" s="1"/>
  <c r="N167" i="7" s="1"/>
  <c r="O167" i="7" s="1"/>
  <c r="L166" i="7"/>
  <c r="M166" i="7" s="1"/>
  <c r="N166" i="7" s="1"/>
  <c r="O166" i="7" s="1"/>
  <c r="L165" i="7"/>
  <c r="M165" i="7" s="1"/>
  <c r="N165" i="7" s="1"/>
  <c r="O165" i="7" s="1"/>
  <c r="L164" i="7"/>
  <c r="M164" i="7" s="1"/>
  <c r="N164" i="7" s="1"/>
  <c r="O164" i="7" s="1"/>
  <c r="L163" i="7"/>
  <c r="M163" i="7" s="1"/>
  <c r="N163" i="7" s="1"/>
  <c r="O163" i="7" s="1"/>
  <c r="L162" i="7"/>
  <c r="M162" i="7" s="1"/>
  <c r="N162" i="7" s="1"/>
  <c r="O162" i="7" s="1"/>
  <c r="L161" i="7"/>
  <c r="M161" i="7" s="1"/>
  <c r="N161" i="7" s="1"/>
  <c r="O161" i="7" s="1"/>
  <c r="L160" i="7"/>
  <c r="M160" i="7" s="1"/>
  <c r="N160" i="7" s="1"/>
  <c r="O160" i="7" s="1"/>
  <c r="L159" i="7"/>
  <c r="M159" i="7" s="1"/>
  <c r="N159" i="7" s="1"/>
  <c r="O159" i="7" s="1"/>
  <c r="L158" i="7"/>
  <c r="M158" i="7" s="1"/>
  <c r="N158" i="7" s="1"/>
  <c r="O158" i="7" s="1"/>
  <c r="L157" i="7"/>
  <c r="M157" i="7" s="1"/>
  <c r="N157" i="7" s="1"/>
  <c r="O157" i="7" s="1"/>
  <c r="L156" i="7"/>
  <c r="M156" i="7" s="1"/>
  <c r="N156" i="7" s="1"/>
  <c r="O156" i="7" s="1"/>
  <c r="L155" i="7"/>
  <c r="M155" i="7" s="1"/>
  <c r="N155" i="7" s="1"/>
  <c r="O155" i="7" s="1"/>
  <c r="L154" i="7"/>
  <c r="M154" i="7" s="1"/>
  <c r="N154" i="7" s="1"/>
  <c r="O154" i="7" s="1"/>
  <c r="L153" i="7"/>
  <c r="M153" i="7" s="1"/>
  <c r="N153" i="7" s="1"/>
  <c r="O153" i="7" s="1"/>
  <c r="L152" i="7"/>
  <c r="M152" i="7" s="1"/>
  <c r="N152" i="7" s="1"/>
  <c r="O152" i="7" s="1"/>
  <c r="L151" i="7"/>
  <c r="M151" i="7" s="1"/>
  <c r="N151" i="7" s="1"/>
  <c r="O151" i="7" s="1"/>
  <c r="L150" i="7"/>
  <c r="M150" i="7" s="1"/>
  <c r="N150" i="7" s="1"/>
  <c r="O150" i="7" s="1"/>
  <c r="L149" i="7"/>
  <c r="M149" i="7" s="1"/>
  <c r="N149" i="7" s="1"/>
  <c r="O149" i="7" s="1"/>
  <c r="L148" i="7"/>
  <c r="M148" i="7" s="1"/>
  <c r="N148" i="7" s="1"/>
  <c r="O148" i="7" s="1"/>
  <c r="L147" i="7"/>
  <c r="M147" i="7" s="1"/>
  <c r="N147" i="7" s="1"/>
  <c r="O147" i="7" s="1"/>
  <c r="L146" i="7"/>
  <c r="M146" i="7" s="1"/>
  <c r="N146" i="7" s="1"/>
  <c r="O146" i="7" s="1"/>
  <c r="L145" i="7"/>
  <c r="M145" i="7" s="1"/>
  <c r="N145" i="7" s="1"/>
  <c r="O145" i="7" s="1"/>
  <c r="L144" i="7"/>
  <c r="M144" i="7" s="1"/>
  <c r="N144" i="7" s="1"/>
  <c r="O144" i="7" s="1"/>
  <c r="L143" i="7"/>
  <c r="M143" i="7" s="1"/>
  <c r="N143" i="7" s="1"/>
  <c r="O143" i="7" s="1"/>
  <c r="L142" i="7"/>
  <c r="M142" i="7" s="1"/>
  <c r="N142" i="7" s="1"/>
  <c r="O142" i="7" s="1"/>
  <c r="L141" i="7"/>
  <c r="M141" i="7" s="1"/>
  <c r="N141" i="7" s="1"/>
  <c r="O141" i="7" s="1"/>
  <c r="L140" i="7"/>
  <c r="M140" i="7" s="1"/>
  <c r="N140" i="7" s="1"/>
  <c r="O140" i="7" s="1"/>
  <c r="L139" i="7"/>
  <c r="M139" i="7" s="1"/>
  <c r="N139" i="7" s="1"/>
  <c r="O139" i="7" s="1"/>
  <c r="L138" i="7"/>
  <c r="M138" i="7" s="1"/>
  <c r="N138" i="7" s="1"/>
  <c r="O138" i="7" s="1"/>
  <c r="L137" i="7"/>
  <c r="M137" i="7" s="1"/>
  <c r="N137" i="7" s="1"/>
  <c r="O137" i="7" s="1"/>
  <c r="L136" i="7"/>
  <c r="M136" i="7" s="1"/>
  <c r="N136" i="7" s="1"/>
  <c r="O136" i="7" s="1"/>
  <c r="L135" i="7"/>
  <c r="M135" i="7" s="1"/>
  <c r="N135" i="7" s="1"/>
  <c r="O135" i="7" s="1"/>
  <c r="L134" i="7"/>
  <c r="M134" i="7" s="1"/>
  <c r="N134" i="7" s="1"/>
  <c r="O134" i="7" s="1"/>
  <c r="L133" i="7"/>
  <c r="M133" i="7" s="1"/>
  <c r="N133" i="7" s="1"/>
  <c r="O133" i="7" s="1"/>
  <c r="L132" i="7"/>
  <c r="M132" i="7" s="1"/>
  <c r="N132" i="7" s="1"/>
  <c r="O132" i="7" s="1"/>
  <c r="L131" i="7"/>
  <c r="M131" i="7" s="1"/>
  <c r="N131" i="7" s="1"/>
  <c r="O131" i="7" s="1"/>
  <c r="L130" i="7"/>
  <c r="M130" i="7" s="1"/>
  <c r="N130" i="7" s="1"/>
  <c r="O130" i="7" s="1"/>
  <c r="L129" i="7"/>
  <c r="M129" i="7" s="1"/>
  <c r="N129" i="7" s="1"/>
  <c r="O129" i="7" s="1"/>
  <c r="L128" i="7"/>
  <c r="M128" i="7" s="1"/>
  <c r="N128" i="7" s="1"/>
  <c r="O128" i="7" s="1"/>
  <c r="L127" i="7"/>
  <c r="M127" i="7" s="1"/>
  <c r="N127" i="7" s="1"/>
  <c r="O127" i="7" s="1"/>
  <c r="L126" i="7"/>
  <c r="M126" i="7" s="1"/>
  <c r="N126" i="7" s="1"/>
  <c r="O126" i="7" s="1"/>
  <c r="L125" i="7"/>
  <c r="M125" i="7" s="1"/>
  <c r="N125" i="7" s="1"/>
  <c r="O125" i="7" s="1"/>
  <c r="L124" i="7"/>
  <c r="M124" i="7" s="1"/>
  <c r="N124" i="7" s="1"/>
  <c r="O124" i="7" s="1"/>
  <c r="L123" i="7"/>
  <c r="M123" i="7" s="1"/>
  <c r="N123" i="7" s="1"/>
  <c r="O123" i="7" s="1"/>
  <c r="L122" i="7"/>
  <c r="M122" i="7" s="1"/>
  <c r="N122" i="7" s="1"/>
  <c r="O122" i="7" s="1"/>
  <c r="L121" i="7"/>
  <c r="M121" i="7" s="1"/>
  <c r="N121" i="7" s="1"/>
  <c r="O121" i="7" s="1"/>
  <c r="L120" i="7"/>
  <c r="M120" i="7" s="1"/>
  <c r="N120" i="7" s="1"/>
  <c r="O120" i="7" s="1"/>
  <c r="L119" i="7"/>
  <c r="M119" i="7" s="1"/>
  <c r="N119" i="7" s="1"/>
  <c r="B211" i="7"/>
  <c r="C211" i="7" s="1"/>
  <c r="D211" i="7" s="1"/>
  <c r="E211" i="7" s="1"/>
  <c r="B210" i="7"/>
  <c r="C210" i="7" s="1"/>
  <c r="D210" i="7" s="1"/>
  <c r="E210" i="7" s="1"/>
  <c r="B209" i="7"/>
  <c r="C209" i="7" s="1"/>
  <c r="D209" i="7" s="1"/>
  <c r="E209" i="7" s="1"/>
  <c r="B208" i="7"/>
  <c r="C208" i="7" s="1"/>
  <c r="D208" i="7" s="1"/>
  <c r="E208" i="7" s="1"/>
  <c r="B207" i="7"/>
  <c r="C207" i="7" s="1"/>
  <c r="D207" i="7" s="1"/>
  <c r="E207" i="7" s="1"/>
  <c r="B206" i="7"/>
  <c r="C206" i="7" s="1"/>
  <c r="D206" i="7" s="1"/>
  <c r="E206" i="7" s="1"/>
  <c r="B205" i="7"/>
  <c r="C205" i="7" s="1"/>
  <c r="D205" i="7" s="1"/>
  <c r="E205" i="7" s="1"/>
  <c r="B204" i="7"/>
  <c r="C204" i="7" s="1"/>
  <c r="D204" i="7" s="1"/>
  <c r="E204" i="7" s="1"/>
  <c r="B203" i="7"/>
  <c r="C203" i="7" s="1"/>
  <c r="D203" i="7" s="1"/>
  <c r="E203" i="7" s="1"/>
  <c r="B202" i="7"/>
  <c r="C202" i="7" s="1"/>
  <c r="D202" i="7" s="1"/>
  <c r="E202" i="7" s="1"/>
  <c r="B201" i="7"/>
  <c r="C201" i="7" s="1"/>
  <c r="D201" i="7" s="1"/>
  <c r="E201" i="7" s="1"/>
  <c r="B200" i="7"/>
  <c r="C200" i="7" s="1"/>
  <c r="D200" i="7" s="1"/>
  <c r="E200" i="7" s="1"/>
  <c r="B199" i="7"/>
  <c r="C199" i="7" s="1"/>
  <c r="D199" i="7" s="1"/>
  <c r="E199" i="7" s="1"/>
  <c r="B198" i="7"/>
  <c r="C198" i="7" s="1"/>
  <c r="D198" i="7" s="1"/>
  <c r="E198" i="7" s="1"/>
  <c r="B197" i="7"/>
  <c r="C197" i="7" s="1"/>
  <c r="D197" i="7" s="1"/>
  <c r="E197" i="7" s="1"/>
  <c r="B196" i="7"/>
  <c r="C196" i="7" s="1"/>
  <c r="D196" i="7" s="1"/>
  <c r="E196" i="7" s="1"/>
  <c r="B195" i="7"/>
  <c r="C195" i="7" s="1"/>
  <c r="D195" i="7" s="1"/>
  <c r="E195" i="7" s="1"/>
  <c r="B194" i="7"/>
  <c r="C194" i="7" s="1"/>
  <c r="D194" i="7" s="1"/>
  <c r="E194" i="7" s="1"/>
  <c r="B193" i="7"/>
  <c r="C193" i="7" s="1"/>
  <c r="D193" i="7" s="1"/>
  <c r="E193" i="7" s="1"/>
  <c r="B192" i="7"/>
  <c r="C192" i="7" s="1"/>
  <c r="D192" i="7" s="1"/>
  <c r="E192" i="7" s="1"/>
  <c r="B191" i="7"/>
  <c r="C191" i="7" s="1"/>
  <c r="D191" i="7" s="1"/>
  <c r="E191" i="7" s="1"/>
  <c r="B190" i="7"/>
  <c r="C190" i="7" s="1"/>
  <c r="D190" i="7" s="1"/>
  <c r="E190" i="7" s="1"/>
  <c r="B189" i="7"/>
  <c r="C189" i="7" s="1"/>
  <c r="D189" i="7" s="1"/>
  <c r="E189" i="7" s="1"/>
  <c r="B188" i="7"/>
  <c r="C188" i="7" s="1"/>
  <c r="D188" i="7" s="1"/>
  <c r="E188" i="7" s="1"/>
  <c r="B187" i="7"/>
  <c r="C187" i="7" s="1"/>
  <c r="D187" i="7" s="1"/>
  <c r="E187" i="7" s="1"/>
  <c r="B186" i="7"/>
  <c r="C186" i="7" s="1"/>
  <c r="D186" i="7" s="1"/>
  <c r="E186" i="7" s="1"/>
  <c r="B185" i="7"/>
  <c r="C185" i="7" s="1"/>
  <c r="D185" i="7" s="1"/>
  <c r="E185" i="7" s="1"/>
  <c r="B184" i="7"/>
  <c r="C184" i="7" s="1"/>
  <c r="D184" i="7" s="1"/>
  <c r="E184" i="7" s="1"/>
  <c r="B183" i="7"/>
  <c r="C183" i="7" s="1"/>
  <c r="D183" i="7" s="1"/>
  <c r="E183" i="7" s="1"/>
  <c r="B182" i="7"/>
  <c r="C182" i="7" s="1"/>
  <c r="D182" i="7" s="1"/>
  <c r="E182" i="7" s="1"/>
  <c r="B181" i="7"/>
  <c r="C181" i="7" s="1"/>
  <c r="D181" i="7" s="1"/>
  <c r="E181" i="7" s="1"/>
  <c r="B180" i="7"/>
  <c r="C180" i="7" s="1"/>
  <c r="D180" i="7" s="1"/>
  <c r="E180" i="7" s="1"/>
  <c r="B179" i="7"/>
  <c r="C179" i="7" s="1"/>
  <c r="D179" i="7" s="1"/>
  <c r="E179" i="7" s="1"/>
  <c r="B178" i="7"/>
  <c r="C178" i="7" s="1"/>
  <c r="D178" i="7" s="1"/>
  <c r="E178" i="7" s="1"/>
  <c r="B177" i="7"/>
  <c r="C177" i="7" s="1"/>
  <c r="D177" i="7" s="1"/>
  <c r="E177" i="7" s="1"/>
  <c r="B176" i="7"/>
  <c r="C176" i="7" s="1"/>
  <c r="D176" i="7" s="1"/>
  <c r="E176" i="7" s="1"/>
  <c r="B175" i="7"/>
  <c r="C175" i="7" s="1"/>
  <c r="D175" i="7" s="1"/>
  <c r="E175" i="7" s="1"/>
  <c r="B174" i="7"/>
  <c r="C174" i="7" s="1"/>
  <c r="D174" i="7" s="1"/>
  <c r="E174" i="7" s="1"/>
  <c r="B173" i="7"/>
  <c r="C173" i="7" s="1"/>
  <c r="D173" i="7" s="1"/>
  <c r="E173" i="7" s="1"/>
  <c r="B172" i="7"/>
  <c r="C172" i="7" s="1"/>
  <c r="D172" i="7" s="1"/>
  <c r="E172" i="7" s="1"/>
  <c r="B171" i="7"/>
  <c r="C171" i="7" s="1"/>
  <c r="D171" i="7" s="1"/>
  <c r="E171" i="7" s="1"/>
  <c r="B170" i="7"/>
  <c r="C170" i="7" s="1"/>
  <c r="D170" i="7" s="1"/>
  <c r="E170" i="7" s="1"/>
  <c r="B169" i="7"/>
  <c r="C169" i="7" s="1"/>
  <c r="D169" i="7" s="1"/>
  <c r="E169" i="7" s="1"/>
  <c r="B168" i="7"/>
  <c r="C168" i="7" s="1"/>
  <c r="D168" i="7" s="1"/>
  <c r="E168" i="7" s="1"/>
  <c r="B167" i="7"/>
  <c r="C167" i="7" s="1"/>
  <c r="D167" i="7" s="1"/>
  <c r="E167" i="7" s="1"/>
  <c r="B166" i="7"/>
  <c r="C166" i="7" s="1"/>
  <c r="D166" i="7" s="1"/>
  <c r="E166" i="7" s="1"/>
  <c r="B165" i="7"/>
  <c r="C165" i="7" s="1"/>
  <c r="D165" i="7" s="1"/>
  <c r="E165" i="7" s="1"/>
  <c r="B164" i="7"/>
  <c r="C164" i="7" s="1"/>
  <c r="D164" i="7" s="1"/>
  <c r="E164" i="7" s="1"/>
  <c r="B163" i="7"/>
  <c r="C163" i="7" s="1"/>
  <c r="D163" i="7" s="1"/>
  <c r="E163" i="7" s="1"/>
  <c r="B162" i="7"/>
  <c r="C162" i="7" s="1"/>
  <c r="D162" i="7" s="1"/>
  <c r="E162" i="7" s="1"/>
  <c r="B161" i="7"/>
  <c r="C161" i="7" s="1"/>
  <c r="D161" i="7" s="1"/>
  <c r="E161" i="7" s="1"/>
  <c r="B160" i="7"/>
  <c r="C160" i="7" s="1"/>
  <c r="D160" i="7" s="1"/>
  <c r="E160" i="7" s="1"/>
  <c r="B159" i="7"/>
  <c r="C159" i="7" s="1"/>
  <c r="D159" i="7" s="1"/>
  <c r="E159" i="7" s="1"/>
  <c r="B158" i="7"/>
  <c r="C158" i="7" s="1"/>
  <c r="D158" i="7" s="1"/>
  <c r="E158" i="7" s="1"/>
  <c r="B157" i="7"/>
  <c r="C157" i="7" s="1"/>
  <c r="D157" i="7" s="1"/>
  <c r="E157" i="7" s="1"/>
  <c r="B156" i="7"/>
  <c r="C156" i="7" s="1"/>
  <c r="D156" i="7" s="1"/>
  <c r="E156" i="7" s="1"/>
  <c r="B155" i="7"/>
  <c r="C155" i="7" s="1"/>
  <c r="D155" i="7" s="1"/>
  <c r="E155" i="7" s="1"/>
  <c r="B154" i="7"/>
  <c r="C154" i="7" s="1"/>
  <c r="D154" i="7" s="1"/>
  <c r="E154" i="7" s="1"/>
  <c r="B153" i="7"/>
  <c r="C153" i="7" s="1"/>
  <c r="D153" i="7" s="1"/>
  <c r="E153" i="7" s="1"/>
  <c r="B152" i="7"/>
  <c r="C152" i="7" s="1"/>
  <c r="D152" i="7" s="1"/>
  <c r="E152" i="7" s="1"/>
  <c r="B151" i="7"/>
  <c r="C151" i="7" s="1"/>
  <c r="D151" i="7" s="1"/>
  <c r="E151" i="7" s="1"/>
  <c r="B150" i="7"/>
  <c r="C150" i="7" s="1"/>
  <c r="D150" i="7" s="1"/>
  <c r="E150" i="7" s="1"/>
  <c r="B149" i="7"/>
  <c r="C149" i="7" s="1"/>
  <c r="D149" i="7" s="1"/>
  <c r="E149" i="7" s="1"/>
  <c r="B148" i="7"/>
  <c r="C148" i="7" s="1"/>
  <c r="D148" i="7" s="1"/>
  <c r="E148" i="7" s="1"/>
  <c r="B147" i="7"/>
  <c r="C147" i="7" s="1"/>
  <c r="D147" i="7" s="1"/>
  <c r="E147" i="7" s="1"/>
  <c r="B146" i="7"/>
  <c r="C146" i="7" s="1"/>
  <c r="D146" i="7" s="1"/>
  <c r="E146" i="7" s="1"/>
  <c r="B145" i="7"/>
  <c r="C145" i="7" s="1"/>
  <c r="D145" i="7" s="1"/>
  <c r="E145" i="7" s="1"/>
  <c r="B144" i="7"/>
  <c r="C144" i="7" s="1"/>
  <c r="D144" i="7" s="1"/>
  <c r="E144" i="7" s="1"/>
  <c r="B143" i="7"/>
  <c r="C143" i="7" s="1"/>
  <c r="D143" i="7" s="1"/>
  <c r="E143" i="7" s="1"/>
  <c r="B142" i="7"/>
  <c r="C142" i="7" s="1"/>
  <c r="D142" i="7" s="1"/>
  <c r="E142" i="7" s="1"/>
  <c r="B141" i="7"/>
  <c r="C141" i="7" s="1"/>
  <c r="D141" i="7" s="1"/>
  <c r="E141" i="7" s="1"/>
  <c r="B140" i="7"/>
  <c r="C140" i="7" s="1"/>
  <c r="D140" i="7" s="1"/>
  <c r="E140" i="7" s="1"/>
  <c r="B139" i="7"/>
  <c r="C139" i="7" s="1"/>
  <c r="D139" i="7" s="1"/>
  <c r="E139" i="7" s="1"/>
  <c r="B138" i="7"/>
  <c r="C138" i="7" s="1"/>
  <c r="D138" i="7" s="1"/>
  <c r="E138" i="7" s="1"/>
  <c r="B137" i="7"/>
  <c r="C137" i="7" s="1"/>
  <c r="D137" i="7" s="1"/>
  <c r="E137" i="7" s="1"/>
  <c r="B136" i="7"/>
  <c r="C136" i="7" s="1"/>
  <c r="D136" i="7" s="1"/>
  <c r="E136" i="7" s="1"/>
  <c r="B135" i="7"/>
  <c r="C135" i="7" s="1"/>
  <c r="D135" i="7" s="1"/>
  <c r="E135" i="7" s="1"/>
  <c r="B134" i="7"/>
  <c r="C134" i="7" s="1"/>
  <c r="D134" i="7" s="1"/>
  <c r="E134" i="7" s="1"/>
  <c r="B133" i="7"/>
  <c r="C133" i="7" s="1"/>
  <c r="D133" i="7" s="1"/>
  <c r="E133" i="7" s="1"/>
  <c r="B132" i="7"/>
  <c r="C132" i="7" s="1"/>
  <c r="D132" i="7" s="1"/>
  <c r="E132" i="7" s="1"/>
  <c r="B131" i="7"/>
  <c r="C131" i="7" s="1"/>
  <c r="D131" i="7" s="1"/>
  <c r="E131" i="7" s="1"/>
  <c r="B130" i="7"/>
  <c r="C130" i="7" s="1"/>
  <c r="D130" i="7" s="1"/>
  <c r="E130" i="7" s="1"/>
  <c r="B129" i="7"/>
  <c r="C129" i="7" s="1"/>
  <c r="D129" i="7" s="1"/>
  <c r="E129" i="7" s="1"/>
  <c r="B128" i="7"/>
  <c r="C128" i="7" s="1"/>
  <c r="D128" i="7" s="1"/>
  <c r="E128" i="7" s="1"/>
  <c r="B127" i="7"/>
  <c r="C127" i="7" s="1"/>
  <c r="D127" i="7" s="1"/>
  <c r="E127" i="7" s="1"/>
  <c r="B126" i="7"/>
  <c r="C126" i="7" s="1"/>
  <c r="D126" i="7" s="1"/>
  <c r="E126" i="7" s="1"/>
  <c r="B125" i="7"/>
  <c r="C125" i="7" s="1"/>
  <c r="D125" i="7" s="1"/>
  <c r="E125" i="7" s="1"/>
  <c r="B124" i="7"/>
  <c r="C124" i="7" s="1"/>
  <c r="D124" i="7" s="1"/>
  <c r="E124" i="7" s="1"/>
  <c r="B123" i="7"/>
  <c r="C123" i="7" s="1"/>
  <c r="D123" i="7" s="1"/>
  <c r="E123" i="7" s="1"/>
  <c r="B122" i="7"/>
  <c r="C122" i="7" s="1"/>
  <c r="D122" i="7" s="1"/>
  <c r="E122" i="7" s="1"/>
  <c r="B121" i="7"/>
  <c r="C121" i="7" s="1"/>
  <c r="D121" i="7" s="1"/>
  <c r="E121" i="7" s="1"/>
  <c r="B120" i="7"/>
  <c r="C120" i="7" s="1"/>
  <c r="D120" i="7" s="1"/>
  <c r="E120" i="7" s="1"/>
  <c r="B119" i="7"/>
  <c r="C119" i="7" s="1"/>
  <c r="D119" i="7" s="1"/>
  <c r="E119" i="7" s="1"/>
  <c r="J93" i="7"/>
  <c r="M93" i="7" s="1"/>
  <c r="F68" i="7" s="1"/>
  <c r="C93" i="7"/>
  <c r="F96" i="7" s="1"/>
  <c r="F99" i="7" l="1"/>
  <c r="F102" i="7" s="1"/>
  <c r="M99" i="7"/>
  <c r="M102" i="7" s="1"/>
  <c r="F93" i="7"/>
  <c r="L74" i="7" s="1"/>
  <c r="K34" i="20"/>
  <c r="H210" i="7"/>
  <c r="H206" i="7"/>
  <c r="H202" i="7"/>
  <c r="H198" i="7"/>
  <c r="H194" i="7"/>
  <c r="H190" i="7"/>
  <c r="H186" i="7"/>
  <c r="H182" i="7"/>
  <c r="H178" i="7"/>
  <c r="H174" i="7"/>
  <c r="H170" i="7"/>
  <c r="H166" i="7"/>
  <c r="H162" i="7"/>
  <c r="H158" i="7"/>
  <c r="H154" i="7"/>
  <c r="H150" i="7"/>
  <c r="H146" i="7"/>
  <c r="H142" i="7"/>
  <c r="H138" i="7"/>
  <c r="H134" i="7"/>
  <c r="H130" i="7"/>
  <c r="H126" i="7"/>
  <c r="H122" i="7"/>
  <c r="H209" i="7"/>
  <c r="H205" i="7"/>
  <c r="H201" i="7"/>
  <c r="H197" i="7"/>
  <c r="H193" i="7"/>
  <c r="H189" i="7"/>
  <c r="H185" i="7"/>
  <c r="H181" i="7"/>
  <c r="H177" i="7"/>
  <c r="H173" i="7"/>
  <c r="H169" i="7"/>
  <c r="H165" i="7"/>
  <c r="H161" i="7"/>
  <c r="H157" i="7"/>
  <c r="H153" i="7"/>
  <c r="H149" i="7"/>
  <c r="H145" i="7"/>
  <c r="H141" i="7"/>
  <c r="H137" i="7"/>
  <c r="H133" i="7"/>
  <c r="H129" i="7"/>
  <c r="H125" i="7"/>
  <c r="H121" i="7"/>
  <c r="H208" i="7"/>
  <c r="H204" i="7"/>
  <c r="H200" i="7"/>
  <c r="H196" i="7"/>
  <c r="H192" i="7"/>
  <c r="H188" i="7"/>
  <c r="H184" i="7"/>
  <c r="H180" i="7"/>
  <c r="H176" i="7"/>
  <c r="H172" i="7"/>
  <c r="H168" i="7"/>
  <c r="H164" i="7"/>
  <c r="H160" i="7"/>
  <c r="H156" i="7"/>
  <c r="H152" i="7"/>
  <c r="H148" i="7"/>
  <c r="H144" i="7"/>
  <c r="H140" i="7"/>
  <c r="H136" i="7"/>
  <c r="H132" i="7"/>
  <c r="H128" i="7"/>
  <c r="H124" i="7"/>
  <c r="H120" i="7"/>
  <c r="H139" i="7"/>
  <c r="H171" i="7"/>
  <c r="H203" i="7"/>
  <c r="H127" i="7"/>
  <c r="H143" i="7"/>
  <c r="H159" i="7"/>
  <c r="H175" i="7"/>
  <c r="H191" i="7"/>
  <c r="H207" i="7"/>
  <c r="H123" i="7"/>
  <c r="H155" i="7"/>
  <c r="H187" i="7"/>
  <c r="H131" i="7"/>
  <c r="H147" i="7"/>
  <c r="H163" i="7"/>
  <c r="H179" i="7"/>
  <c r="H195" i="7"/>
  <c r="H211" i="7"/>
  <c r="H119" i="7"/>
  <c r="H135" i="7"/>
  <c r="H151" i="7"/>
  <c r="H167" i="7"/>
  <c r="H183" i="7"/>
  <c r="H199" i="7"/>
  <c r="M96" i="7"/>
  <c r="AB20" i="20" l="1"/>
  <c r="Y103" i="7"/>
  <c r="K35" i="20"/>
  <c r="R209" i="7"/>
  <c r="R205" i="7"/>
  <c r="R201" i="7"/>
  <c r="R197" i="7"/>
  <c r="R193" i="7"/>
  <c r="R189" i="7"/>
  <c r="R185" i="7"/>
  <c r="R181" i="7"/>
  <c r="R177" i="7"/>
  <c r="R173" i="7"/>
  <c r="R169" i="7"/>
  <c r="R165" i="7"/>
  <c r="R161" i="7"/>
  <c r="R157" i="7"/>
  <c r="R153" i="7"/>
  <c r="R149" i="7"/>
  <c r="R145" i="7"/>
  <c r="R141" i="7"/>
  <c r="R137" i="7"/>
  <c r="R133" i="7"/>
  <c r="R129" i="7"/>
  <c r="R125" i="7"/>
  <c r="R121" i="7"/>
  <c r="R208" i="7"/>
  <c r="R204" i="7"/>
  <c r="R200" i="7"/>
  <c r="R196" i="7"/>
  <c r="R192" i="7"/>
  <c r="R188" i="7"/>
  <c r="R184" i="7"/>
  <c r="R180" i="7"/>
  <c r="R176" i="7"/>
  <c r="R172" i="7"/>
  <c r="R168" i="7"/>
  <c r="R164" i="7"/>
  <c r="R160" i="7"/>
  <c r="R156" i="7"/>
  <c r="R152" i="7"/>
  <c r="R148" i="7"/>
  <c r="R144" i="7"/>
  <c r="R140" i="7"/>
  <c r="R136" i="7"/>
  <c r="R132" i="7"/>
  <c r="R128" i="7"/>
  <c r="R124" i="7"/>
  <c r="R120" i="7"/>
  <c r="R211" i="7"/>
  <c r="R207" i="7"/>
  <c r="R203" i="7"/>
  <c r="R199" i="7"/>
  <c r="R195" i="7"/>
  <c r="R191" i="7"/>
  <c r="R187" i="7"/>
  <c r="R183" i="7"/>
  <c r="R179" i="7"/>
  <c r="R175" i="7"/>
  <c r="R171" i="7"/>
  <c r="R167" i="7"/>
  <c r="R163" i="7"/>
  <c r="R159" i="7"/>
  <c r="R155" i="7"/>
  <c r="R151" i="7"/>
  <c r="R147" i="7"/>
  <c r="R143" i="7"/>
  <c r="R139" i="7"/>
  <c r="R135" i="7"/>
  <c r="R131" i="7"/>
  <c r="R127" i="7"/>
  <c r="R123" i="7"/>
  <c r="R119" i="7"/>
  <c r="R202" i="7"/>
  <c r="R186" i="7"/>
  <c r="R170" i="7"/>
  <c r="R154" i="7"/>
  <c r="R138" i="7"/>
  <c r="R122" i="7"/>
  <c r="R198" i="7"/>
  <c r="R182" i="7"/>
  <c r="R166" i="7"/>
  <c r="R150" i="7"/>
  <c r="R134" i="7"/>
  <c r="R190" i="7"/>
  <c r="R158" i="7"/>
  <c r="R126" i="7"/>
  <c r="R210" i="7"/>
  <c r="R194" i="7"/>
  <c r="R178" i="7"/>
  <c r="R162" i="7"/>
  <c r="R146" i="7"/>
  <c r="R130" i="7"/>
  <c r="R206" i="7"/>
  <c r="R174" i="7"/>
  <c r="R142" i="7"/>
  <c r="B13" i="20"/>
  <c r="B9" i="20"/>
  <c r="B8" i="20"/>
  <c r="B39" i="20" s="1"/>
  <c r="D39" i="20" s="1"/>
  <c r="AB23" i="20" l="1"/>
  <c r="Y106" i="7"/>
  <c r="B16" i="20"/>
  <c r="B15" i="20"/>
  <c r="B28" i="20"/>
  <c r="D28" i="20" s="1"/>
  <c r="B33" i="20"/>
  <c r="D33" i="20" s="1"/>
  <c r="B34" i="20"/>
  <c r="D34" i="20" s="1"/>
  <c r="B35" i="20"/>
  <c r="D35" i="20" s="1"/>
  <c r="B36" i="20"/>
  <c r="D36" i="20" s="1"/>
  <c r="B37" i="20"/>
  <c r="D37" i="20" s="1"/>
  <c r="B38" i="20"/>
  <c r="D38" i="20" s="1"/>
  <c r="B31" i="20"/>
  <c r="D31" i="20" s="1"/>
  <c r="B32" i="20"/>
  <c r="D32" i="20" s="1"/>
  <c r="B41" i="20"/>
  <c r="D41" i="20" s="1"/>
  <c r="B30" i="20"/>
  <c r="D30" i="20" s="1"/>
  <c r="B40" i="20"/>
  <c r="D40" i="20" s="1"/>
  <c r="C26" i="20" s="1"/>
  <c r="B14" i="20"/>
  <c r="B29" i="20"/>
  <c r="D29" i="20" s="1"/>
  <c r="K26" i="20" l="1"/>
  <c r="AH16" i="12"/>
  <c r="K30" i="20"/>
  <c r="G26" i="19" a="1"/>
  <c r="G26" i="19" s="1"/>
  <c r="D9" i="15" s="1"/>
  <c r="C26" i="19" a="1"/>
  <c r="C26" i="19" s="1"/>
  <c r="H18" i="16" s="1" a="1"/>
  <c r="H18" i="16" s="1"/>
  <c r="F26" i="19" a="1"/>
  <c r="F26" i="19" s="1"/>
  <c r="E19" i="16" s="1"/>
  <c r="E26" i="19" a="1"/>
  <c r="E26" i="19" s="1"/>
  <c r="E17" i="16" s="1"/>
  <c r="D26" i="19" a="1"/>
  <c r="D26" i="19" s="1"/>
  <c r="K32" i="20" l="1"/>
  <c r="AB5" i="20"/>
  <c r="Y88" i="7"/>
  <c r="J6" i="10"/>
  <c r="AH18" i="12"/>
  <c r="AH17" i="12"/>
  <c r="J12" i="10"/>
  <c r="D9" i="17"/>
  <c r="B5" i="19"/>
  <c r="B6" i="19" s="1"/>
  <c r="B7" i="19" s="1"/>
  <c r="B8" i="19" s="1"/>
  <c r="B9" i="19" s="1"/>
  <c r="B10" i="19" s="1"/>
  <c r="B11" i="19" s="1"/>
  <c r="B12" i="19" s="1"/>
  <c r="B13" i="19" s="1"/>
  <c r="B14" i="19" s="1"/>
  <c r="B15" i="19" s="1"/>
  <c r="B16" i="19" s="1"/>
  <c r="B17" i="19" s="1"/>
  <c r="B18" i="19" s="1"/>
  <c r="B19" i="19" s="1"/>
  <c r="B20" i="19" s="1"/>
  <c r="B21" i="19" s="1"/>
  <c r="B22" i="19" s="1"/>
  <c r="K33" i="20" l="1"/>
  <c r="AB8" i="20"/>
  <c r="Y91" i="7"/>
  <c r="F1" i="16"/>
  <c r="E1" i="16"/>
  <c r="O6" i="10"/>
  <c r="Q6" i="10" s="1"/>
  <c r="O12" i="10"/>
  <c r="Q12" i="10" s="1"/>
  <c r="H37" i="16"/>
  <c r="H61" i="16"/>
  <c r="C33" i="3"/>
  <c r="C49" i="5"/>
  <c r="F17" i="15"/>
  <c r="E2" i="18"/>
  <c r="AB14" i="20" l="1"/>
  <c r="Y97" i="7"/>
  <c r="K37" i="20"/>
  <c r="K36" i="20"/>
  <c r="S12" i="10"/>
  <c r="S6" i="10"/>
  <c r="M34" i="18"/>
  <c r="M33" i="18"/>
  <c r="M32" i="18"/>
  <c r="M31" i="18"/>
  <c r="M30" i="18"/>
  <c r="M29" i="18"/>
  <c r="M28" i="18"/>
  <c r="M27" i="18"/>
  <c r="M26" i="18"/>
  <c r="M25" i="18"/>
  <c r="M24" i="18"/>
  <c r="M23" i="18"/>
  <c r="M22" i="18"/>
  <c r="M21" i="18"/>
  <c r="M20" i="18"/>
  <c r="M19" i="18"/>
  <c r="G19" i="18"/>
  <c r="F19" i="18" s="1"/>
  <c r="L19" i="18" s="1"/>
  <c r="M18" i="18"/>
  <c r="G18" i="18"/>
  <c r="F18" i="18" s="1"/>
  <c r="L18" i="18" s="1"/>
  <c r="M17" i="18"/>
  <c r="G17" i="18"/>
  <c r="F17" i="18" s="1"/>
  <c r="L17" i="18" s="1"/>
  <c r="M16" i="18"/>
  <c r="M15" i="18"/>
  <c r="M14" i="18"/>
  <c r="M13" i="18"/>
  <c r="M12" i="18"/>
  <c r="M11" i="18"/>
  <c r="M10" i="18"/>
  <c r="G10" i="18"/>
  <c r="F10" i="18" s="1"/>
  <c r="L10" i="18" s="1"/>
  <c r="M9" i="18"/>
  <c r="M8" i="18"/>
  <c r="M7" i="18"/>
  <c r="G34" i="18"/>
  <c r="F34" i="18" s="1"/>
  <c r="L34" i="18" s="1"/>
  <c r="C26" i="5" l="1"/>
  <c r="Y112" i="7"/>
  <c r="AB29" i="20"/>
  <c r="F65" i="7"/>
  <c r="Y109" i="7"/>
  <c r="AB26" i="20"/>
  <c r="L77" i="7"/>
  <c r="C15" i="3"/>
  <c r="O18" i="18"/>
  <c r="H18" i="18"/>
  <c r="O34" i="18"/>
  <c r="H34" i="18"/>
  <c r="O10" i="18"/>
  <c r="H10" i="18"/>
  <c r="H17" i="18"/>
  <c r="O17" i="18"/>
  <c r="O19" i="18"/>
  <c r="H19" i="18"/>
  <c r="G9" i="18"/>
  <c r="F9" i="18" s="1"/>
  <c r="L9" i="18" s="1"/>
  <c r="G11" i="18"/>
  <c r="F11" i="18" s="1"/>
  <c r="L11" i="18" s="1"/>
  <c r="G25" i="18"/>
  <c r="F25" i="18" s="1"/>
  <c r="L25" i="18" s="1"/>
  <c r="G26" i="18"/>
  <c r="F26" i="18" s="1"/>
  <c r="L26" i="18" s="1"/>
  <c r="G27" i="18"/>
  <c r="F27" i="18" s="1"/>
  <c r="L27" i="18" s="1"/>
  <c r="G30" i="18"/>
  <c r="F30" i="18" s="1"/>
  <c r="L30" i="18" s="1"/>
  <c r="G31" i="18"/>
  <c r="F31" i="18" s="1"/>
  <c r="L31" i="18" s="1"/>
  <c r="G32" i="18"/>
  <c r="F32" i="18" s="1"/>
  <c r="L32" i="18" s="1"/>
  <c r="G28" i="18"/>
  <c r="F28" i="18" s="1"/>
  <c r="L28" i="18" s="1"/>
  <c r="G24" i="18"/>
  <c r="F24" i="18" s="1"/>
  <c r="L24" i="18" s="1"/>
  <c r="G20" i="18"/>
  <c r="F20" i="18" s="1"/>
  <c r="L20" i="18" s="1"/>
  <c r="G16" i="18"/>
  <c r="F16" i="18" s="1"/>
  <c r="L16" i="18" s="1"/>
  <c r="G12" i="18"/>
  <c r="F12" i="18" s="1"/>
  <c r="L12" i="18" s="1"/>
  <c r="G8" i="18"/>
  <c r="F8" i="18" s="1"/>
  <c r="L8" i="18" s="1"/>
  <c r="G33" i="18"/>
  <c r="F33" i="18" s="1"/>
  <c r="L33" i="18" s="1"/>
  <c r="G29" i="18"/>
  <c r="F29" i="18" s="1"/>
  <c r="L29" i="18" s="1"/>
  <c r="G23" i="18"/>
  <c r="F23" i="18" s="1"/>
  <c r="L23" i="18" s="1"/>
  <c r="G22" i="18"/>
  <c r="F22" i="18" s="1"/>
  <c r="L22" i="18" s="1"/>
  <c r="G21" i="18"/>
  <c r="F21" i="18" s="1"/>
  <c r="L21" i="18" s="1"/>
  <c r="G15" i="18"/>
  <c r="F15" i="18" s="1"/>
  <c r="L15" i="18" s="1"/>
  <c r="G14" i="18"/>
  <c r="F14" i="18" s="1"/>
  <c r="L14" i="18" s="1"/>
  <c r="G13" i="18"/>
  <c r="F13" i="18" s="1"/>
  <c r="L13" i="18" s="1"/>
  <c r="G7" i="18"/>
  <c r="F7" i="18" s="1"/>
  <c r="E27" i="16" l="1"/>
  <c r="L7" i="18"/>
  <c r="H23" i="18"/>
  <c r="O23" i="18"/>
  <c r="O28" i="18"/>
  <c r="H28" i="18"/>
  <c r="H9" i="18"/>
  <c r="O9" i="18"/>
  <c r="H29" i="18"/>
  <c r="O29" i="18"/>
  <c r="H32" i="18"/>
  <c r="O32" i="18"/>
  <c r="O26" i="18"/>
  <c r="H26" i="18"/>
  <c r="I18" i="18"/>
  <c r="N18" i="18"/>
  <c r="H21" i="18"/>
  <c r="O21" i="18"/>
  <c r="O33" i="18"/>
  <c r="H33" i="18"/>
  <c r="O20" i="18"/>
  <c r="H20" i="18"/>
  <c r="O31" i="18"/>
  <c r="H31" i="18"/>
  <c r="H25" i="18"/>
  <c r="O25" i="18"/>
  <c r="P19" i="18"/>
  <c r="R19" i="18" s="1"/>
  <c r="Q19" i="18"/>
  <c r="N17" i="18"/>
  <c r="I17" i="18"/>
  <c r="I34" i="18"/>
  <c r="N34" i="18"/>
  <c r="O14" i="18"/>
  <c r="H14" i="18"/>
  <c r="O12" i="18"/>
  <c r="H12" i="18"/>
  <c r="O27" i="18"/>
  <c r="H27" i="18"/>
  <c r="Q17" i="18"/>
  <c r="P17" i="18"/>
  <c r="R17" i="18" s="1"/>
  <c r="O15" i="18"/>
  <c r="H15" i="18"/>
  <c r="O16" i="18"/>
  <c r="H16" i="18"/>
  <c r="I19" i="18"/>
  <c r="N19" i="18"/>
  <c r="Q10" i="18"/>
  <c r="P10" i="18"/>
  <c r="R10" i="18" s="1"/>
  <c r="O7" i="18"/>
  <c r="H7" i="18"/>
  <c r="H13" i="18"/>
  <c r="O13" i="18"/>
  <c r="O22" i="18"/>
  <c r="H22" i="18"/>
  <c r="O8" i="18"/>
  <c r="H8" i="18"/>
  <c r="O24" i="18"/>
  <c r="H24" i="18"/>
  <c r="O30" i="18"/>
  <c r="H30" i="18"/>
  <c r="O11" i="18"/>
  <c r="H11" i="18"/>
  <c r="I10" i="18"/>
  <c r="N10" i="18"/>
  <c r="P34" i="18"/>
  <c r="R34" i="18" s="1"/>
  <c r="Q34" i="18"/>
  <c r="Q18" i="18"/>
  <c r="P18" i="18"/>
  <c r="R18" i="18" s="1"/>
  <c r="Q24" i="18" l="1"/>
  <c r="P24" i="18"/>
  <c r="R24" i="18" s="1"/>
  <c r="Q8" i="18"/>
  <c r="P8" i="18"/>
  <c r="R8" i="18" s="1"/>
  <c r="P7" i="18"/>
  <c r="R7" i="18" s="1"/>
  <c r="Q7" i="18"/>
  <c r="I14" i="18"/>
  <c r="N14" i="18"/>
  <c r="I31" i="18"/>
  <c r="N31" i="18"/>
  <c r="Q28" i="18"/>
  <c r="P28" i="18"/>
  <c r="R28" i="18" s="1"/>
  <c r="I30" i="18"/>
  <c r="N30" i="18"/>
  <c r="Q20" i="18"/>
  <c r="P20" i="18"/>
  <c r="R20" i="18" s="1"/>
  <c r="P11" i="18"/>
  <c r="R11" i="18" s="1"/>
  <c r="Q11" i="18"/>
  <c r="I16" i="18"/>
  <c r="N16" i="18"/>
  <c r="P15" i="18"/>
  <c r="R15" i="18" s="1"/>
  <c r="Q15" i="18"/>
  <c r="I27" i="18"/>
  <c r="N27" i="18"/>
  <c r="I12" i="18"/>
  <c r="N12" i="18"/>
  <c r="P14" i="18"/>
  <c r="R14" i="18" s="1"/>
  <c r="Q14" i="18"/>
  <c r="Q21" i="18"/>
  <c r="P21" i="18"/>
  <c r="R21" i="18" s="1"/>
  <c r="I26" i="18"/>
  <c r="N26" i="18"/>
  <c r="N29" i="18"/>
  <c r="I29" i="18"/>
  <c r="N23" i="18"/>
  <c r="I23" i="18"/>
  <c r="I20" i="18"/>
  <c r="N20" i="18"/>
  <c r="Q33" i="18"/>
  <c r="P33" i="18"/>
  <c r="R33" i="18" s="1"/>
  <c r="Q26" i="18"/>
  <c r="P26" i="18"/>
  <c r="R26" i="18" s="1"/>
  <c r="I11" i="18"/>
  <c r="N11" i="18"/>
  <c r="I22" i="18"/>
  <c r="N22" i="18"/>
  <c r="Q13" i="18"/>
  <c r="P13" i="18"/>
  <c r="R13" i="18" s="1"/>
  <c r="N15" i="18"/>
  <c r="I15" i="18"/>
  <c r="Q25" i="18"/>
  <c r="P25" i="18"/>
  <c r="R25" i="18" s="1"/>
  <c r="Q31" i="18"/>
  <c r="P31" i="18"/>
  <c r="R31" i="18" s="1"/>
  <c r="Q32" i="18"/>
  <c r="P32" i="18"/>
  <c r="R32" i="18" s="1"/>
  <c r="Q29" i="18"/>
  <c r="P29" i="18"/>
  <c r="R29" i="18" s="1"/>
  <c r="N9" i="18"/>
  <c r="I9" i="18"/>
  <c r="P23" i="18"/>
  <c r="R23" i="18" s="1"/>
  <c r="Q23" i="18"/>
  <c r="Q30" i="18"/>
  <c r="P30" i="18"/>
  <c r="R30" i="18" s="1"/>
  <c r="N13" i="18"/>
  <c r="I13" i="18"/>
  <c r="N24" i="18"/>
  <c r="I24" i="18"/>
  <c r="I8" i="18"/>
  <c r="N8" i="18"/>
  <c r="Q22" i="18"/>
  <c r="P22" i="18"/>
  <c r="R22" i="18" s="1"/>
  <c r="N7" i="18"/>
  <c r="I7" i="18"/>
  <c r="Q16" i="18"/>
  <c r="P16" i="18"/>
  <c r="R16" i="18" s="1"/>
  <c r="P27" i="18"/>
  <c r="R27" i="18" s="1"/>
  <c r="Q27" i="18"/>
  <c r="Q12" i="18"/>
  <c r="P12" i="18"/>
  <c r="R12" i="18" s="1"/>
  <c r="N25" i="18"/>
  <c r="I25" i="18"/>
  <c r="I33" i="18"/>
  <c r="N33" i="18"/>
  <c r="N21" i="18"/>
  <c r="I21" i="18"/>
  <c r="N32" i="18"/>
  <c r="I32" i="18"/>
  <c r="Q9" i="18"/>
  <c r="P9" i="18"/>
  <c r="R9" i="18" s="1"/>
  <c r="I28" i="18"/>
  <c r="N28" i="18"/>
  <c r="E2" i="14" l="1"/>
  <c r="M72" i="14" l="1"/>
  <c r="G72" i="14"/>
  <c r="F72" i="14" s="1"/>
  <c r="H72" i="14" s="1"/>
  <c r="I72" i="14" s="1"/>
  <c r="M71" i="14"/>
  <c r="M70" i="14"/>
  <c r="M68" i="14"/>
  <c r="M66" i="14"/>
  <c r="M65" i="14"/>
  <c r="M69" i="14"/>
  <c r="M67" i="14"/>
  <c r="M64" i="14"/>
  <c r="M62" i="14"/>
  <c r="M60" i="14"/>
  <c r="M59" i="14"/>
  <c r="M57" i="14"/>
  <c r="M54" i="14"/>
  <c r="M22" i="14"/>
  <c r="M51" i="14"/>
  <c r="M49" i="14"/>
  <c r="M47" i="14"/>
  <c r="M50" i="14"/>
  <c r="M43" i="14"/>
  <c r="M41" i="14"/>
  <c r="M39" i="14"/>
  <c r="M37" i="14"/>
  <c r="M36" i="14"/>
  <c r="M35" i="14"/>
  <c r="M30" i="14"/>
  <c r="M33" i="14"/>
  <c r="M32" i="14"/>
  <c r="M28" i="14"/>
  <c r="M26" i="14"/>
  <c r="L72" i="14" l="1"/>
  <c r="O72" i="14"/>
  <c r="M31" i="14"/>
  <c r="M29" i="14"/>
  <c r="M23" i="14"/>
  <c r="M19" i="14"/>
  <c r="M18" i="14"/>
  <c r="M13" i="14"/>
  <c r="M11" i="14"/>
  <c r="M8" i="14"/>
  <c r="M6" i="14"/>
  <c r="N72" i="14" l="1"/>
  <c r="P72" i="14"/>
  <c r="R72" i="14" s="1"/>
  <c r="Q72" i="14"/>
  <c r="L65" i="7"/>
  <c r="C6" i="3" l="1"/>
  <c r="C7" i="3" s="1"/>
  <c r="C8" i="3" s="1"/>
  <c r="G71" i="14"/>
  <c r="F71" i="14" s="1"/>
  <c r="C31" i="3"/>
  <c r="C32" i="3"/>
  <c r="C35" i="3"/>
  <c r="C11" i="3"/>
  <c r="C6" i="5"/>
  <c r="C7" i="5" s="1"/>
  <c r="C9" i="5"/>
  <c r="C10" i="5"/>
  <c r="G15" i="11"/>
  <c r="C11" i="5" s="1"/>
  <c r="G19" i="12" s="1"/>
  <c r="C13" i="5"/>
  <c r="E6" i="10"/>
  <c r="H6" i="10" s="1"/>
  <c r="D7" i="17"/>
  <c r="D8" i="17"/>
  <c r="F17" i="17"/>
  <c r="D15" i="17"/>
  <c r="D12" i="17"/>
  <c r="D13" i="17"/>
  <c r="C27" i="5"/>
  <c r="L22" i="8" s="1"/>
  <c r="C28" i="5"/>
  <c r="C29" i="5"/>
  <c r="C32" i="5"/>
  <c r="C31" i="5"/>
  <c r="C30" i="5"/>
  <c r="D9" i="7"/>
  <c r="T30" i="12"/>
  <c r="C28" i="3"/>
  <c r="E42" i="16"/>
  <c r="D5" i="8"/>
  <c r="E68" i="16"/>
  <c r="AA12" i="16"/>
  <c r="AA11" i="16"/>
  <c r="AA10" i="16"/>
  <c r="AA9" i="16"/>
  <c r="AA8" i="16"/>
  <c r="AA7" i="16"/>
  <c r="Y7" i="16"/>
  <c r="AA6" i="16"/>
  <c r="AA5" i="16"/>
  <c r="AA4" i="16"/>
  <c r="AA3" i="16"/>
  <c r="F48" i="5"/>
  <c r="R18" i="12"/>
  <c r="U16" i="12"/>
  <c r="I16" i="12"/>
  <c r="D13" i="15"/>
  <c r="D12" i="15"/>
  <c r="L55" i="7"/>
  <c r="D7" i="15"/>
  <c r="D8" i="15"/>
  <c r="D17" i="15"/>
  <c r="C13" i="3"/>
  <c r="L30" i="8" s="1"/>
  <c r="C48" i="3"/>
  <c r="E48" i="3" s="1"/>
  <c r="G7" i="16"/>
  <c r="K5" i="16"/>
  <c r="G5" i="16"/>
  <c r="E5" i="16"/>
  <c r="H5" i="16"/>
  <c r="J11" i="7"/>
  <c r="D24" i="8" s="1"/>
  <c r="AE13" i="12" s="1"/>
  <c r="C44" i="3"/>
  <c r="J9" i="7"/>
  <c r="G22" i="8" s="1"/>
  <c r="C12" i="3"/>
  <c r="D15" i="15"/>
  <c r="L80" i="7"/>
  <c r="U34" i="7" s="1"/>
  <c r="Y12" i="16"/>
  <c r="E12" i="10"/>
  <c r="K65" i="16"/>
  <c r="I65" i="16"/>
  <c r="E65" i="16"/>
  <c r="D21" i="7"/>
  <c r="G14" i="11"/>
  <c r="L11" i="11"/>
  <c r="L69" i="11"/>
  <c r="G70" i="11"/>
  <c r="G73" i="11"/>
  <c r="G71" i="11"/>
  <c r="C30" i="3" s="1"/>
  <c r="V19" i="12" s="1"/>
  <c r="Y3" i="16"/>
  <c r="M63" i="14"/>
  <c r="M61" i="14"/>
  <c r="M58" i="14"/>
  <c r="M56" i="14"/>
  <c r="M55" i="14"/>
  <c r="M53" i="14"/>
  <c r="M52" i="14"/>
  <c r="M48" i="14"/>
  <c r="M46" i="14"/>
  <c r="M45" i="14"/>
  <c r="M44" i="14"/>
  <c r="M42" i="14"/>
  <c r="M40" i="14"/>
  <c r="M38" i="14"/>
  <c r="M34" i="14"/>
  <c r="M27" i="14"/>
  <c r="M25" i="14"/>
  <c r="M24" i="14"/>
  <c r="M21" i="14"/>
  <c r="M20" i="14"/>
  <c r="M17" i="14"/>
  <c r="M16" i="14"/>
  <c r="M15" i="14"/>
  <c r="M14" i="14"/>
  <c r="M12" i="14"/>
  <c r="M10" i="14"/>
  <c r="M9" i="14"/>
  <c r="M7" i="14"/>
  <c r="L15" i="8"/>
  <c r="AG21" i="12"/>
  <c r="AG20" i="12"/>
  <c r="O33" i="12"/>
  <c r="W9" i="12"/>
  <c r="T7" i="12"/>
  <c r="S21" i="12"/>
  <c r="K19" i="12"/>
  <c r="K9" i="12"/>
  <c r="F10" i="12"/>
  <c r="F21" i="12"/>
  <c r="H4" i="12"/>
  <c r="A4" i="12"/>
  <c r="A1" i="12"/>
  <c r="M1" i="7"/>
  <c r="J1" i="7"/>
  <c r="H1" i="7"/>
  <c r="L11" i="8"/>
  <c r="L3" i="8"/>
  <c r="L2" i="3"/>
  <c r="L2" i="5"/>
  <c r="D7" i="7"/>
  <c r="D5" i="7"/>
  <c r="I1" i="8"/>
  <c r="L26" i="8"/>
  <c r="B1" i="3"/>
  <c r="G2" i="5"/>
  <c r="E2" i="5"/>
  <c r="E1" i="5"/>
  <c r="G2" i="3"/>
  <c r="G1" i="3"/>
  <c r="E2" i="3"/>
  <c r="E1" i="3"/>
  <c r="I23" i="6"/>
  <c r="K23" i="6" s="1"/>
  <c r="E40" i="2"/>
  <c r="F4" i="2"/>
  <c r="F5" i="2" s="1"/>
  <c r="E4" i="2" s="1"/>
  <c r="E3" i="2"/>
  <c r="C4" i="2"/>
  <c r="B3" i="2"/>
  <c r="F43" i="2"/>
  <c r="E42" i="2"/>
  <c r="E41" i="2"/>
  <c r="C43" i="2"/>
  <c r="C44" i="2" s="1"/>
  <c r="B43" i="2"/>
  <c r="B42" i="2"/>
  <c r="F6" i="2"/>
  <c r="F7" i="2" s="1"/>
  <c r="E6" i="2" s="1"/>
  <c r="E5" i="2"/>
  <c r="F8" i="2"/>
  <c r="F9" i="2" s="1"/>
  <c r="E8" i="2" s="1"/>
  <c r="E7" i="2"/>
  <c r="F10" i="2"/>
  <c r="F11" i="2" s="1"/>
  <c r="F12" i="2" s="1"/>
  <c r="E11" i="2" s="1"/>
  <c r="E10" i="2"/>
  <c r="Y6" i="16"/>
  <c r="Y10" i="16"/>
  <c r="Y4" i="16"/>
  <c r="Y5" i="16"/>
  <c r="Y8" i="16"/>
  <c r="D4" i="15"/>
  <c r="D4" i="17"/>
  <c r="D22" i="17"/>
  <c r="D21" i="15"/>
  <c r="D24" i="15"/>
  <c r="D25" i="17"/>
  <c r="D22" i="15"/>
  <c r="D26" i="17"/>
  <c r="D24" i="17"/>
  <c r="D26" i="15"/>
  <c r="D20" i="15"/>
  <c r="D23" i="17"/>
  <c r="D20" i="17"/>
  <c r="D21" i="17"/>
  <c r="D23" i="15"/>
  <c r="D25" i="15"/>
  <c r="Y9" i="16" l="1"/>
  <c r="Y11" i="16"/>
  <c r="Z10" i="16"/>
  <c r="H12" i="10"/>
  <c r="Z9" i="16"/>
  <c r="C38" i="5"/>
  <c r="T28" i="12" s="1"/>
  <c r="O8" i="12"/>
  <c r="C37" i="3"/>
  <c r="C33" i="5"/>
  <c r="C34" i="5" s="1"/>
  <c r="W9" i="16"/>
  <c r="E35" i="16"/>
  <c r="W12" i="16"/>
  <c r="W5" i="16"/>
  <c r="H71" i="14"/>
  <c r="I71" i="14" s="1"/>
  <c r="L71" i="14"/>
  <c r="O71" i="14"/>
  <c r="G68" i="14"/>
  <c r="F68" i="14" s="1"/>
  <c r="H68" i="14" s="1"/>
  <c r="I68" i="14" s="1"/>
  <c r="G70" i="14"/>
  <c r="F70" i="14" s="1"/>
  <c r="G65" i="14"/>
  <c r="F65" i="14" s="1"/>
  <c r="H65" i="14" s="1"/>
  <c r="I65" i="14" s="1"/>
  <c r="G66" i="14"/>
  <c r="F66" i="14" s="1"/>
  <c r="G67" i="14"/>
  <c r="F67" i="14" s="1"/>
  <c r="H67" i="14" s="1"/>
  <c r="I67" i="14" s="1"/>
  <c r="G69" i="14"/>
  <c r="F69" i="14" s="1"/>
  <c r="G62" i="14"/>
  <c r="F62" i="14" s="1"/>
  <c r="H62" i="14" s="1"/>
  <c r="I62" i="14" s="1"/>
  <c r="G64" i="14"/>
  <c r="F64" i="14" s="1"/>
  <c r="G59" i="14"/>
  <c r="F59" i="14" s="1"/>
  <c r="H59" i="14" s="1"/>
  <c r="I59" i="14" s="1"/>
  <c r="G60" i="14"/>
  <c r="F60" i="14" s="1"/>
  <c r="G54" i="14"/>
  <c r="F54" i="14" s="1"/>
  <c r="H54" i="14" s="1"/>
  <c r="I54" i="14" s="1"/>
  <c r="G57" i="14"/>
  <c r="F57" i="14" s="1"/>
  <c r="G51" i="14"/>
  <c r="F51" i="14" s="1"/>
  <c r="H51" i="14" s="1"/>
  <c r="I51" i="14" s="1"/>
  <c r="G22" i="14"/>
  <c r="F22" i="14" s="1"/>
  <c r="G47" i="14"/>
  <c r="F47" i="14" s="1"/>
  <c r="L47" i="14" s="1"/>
  <c r="G49" i="14"/>
  <c r="F49" i="14" s="1"/>
  <c r="G43" i="14"/>
  <c r="F43" i="14" s="1"/>
  <c r="H43" i="14" s="1"/>
  <c r="I43" i="14" s="1"/>
  <c r="G50" i="14"/>
  <c r="F50" i="14" s="1"/>
  <c r="G39" i="14"/>
  <c r="F39" i="14" s="1"/>
  <c r="L39" i="14" s="1"/>
  <c r="G41" i="14"/>
  <c r="F41" i="14" s="1"/>
  <c r="G36" i="14"/>
  <c r="F36" i="14" s="1"/>
  <c r="L36" i="14" s="1"/>
  <c r="G37" i="14"/>
  <c r="F37" i="14" s="1"/>
  <c r="G30" i="14"/>
  <c r="F30" i="14" s="1"/>
  <c r="O30" i="14" s="1"/>
  <c r="Q30" i="14" s="1"/>
  <c r="G35" i="14"/>
  <c r="F35" i="14" s="1"/>
  <c r="G32" i="14"/>
  <c r="F32" i="14" s="1"/>
  <c r="L32" i="14" s="1"/>
  <c r="G33" i="14"/>
  <c r="F33" i="14" s="1"/>
  <c r="G28" i="14"/>
  <c r="F28" i="14" s="1"/>
  <c r="H28" i="14" s="1"/>
  <c r="I28" i="14" s="1"/>
  <c r="G26" i="14"/>
  <c r="F26" i="14" s="1"/>
  <c r="G29" i="14"/>
  <c r="F29" i="14" s="1"/>
  <c r="H29" i="14" s="1"/>
  <c r="G31" i="14"/>
  <c r="F31" i="14" s="1"/>
  <c r="G19" i="14"/>
  <c r="F19" i="14" s="1"/>
  <c r="H19" i="14" s="1"/>
  <c r="G23" i="14"/>
  <c r="F23" i="14" s="1"/>
  <c r="G13" i="14"/>
  <c r="F13" i="14" s="1"/>
  <c r="H13" i="14" s="1"/>
  <c r="G18" i="14"/>
  <c r="F18" i="14" s="1"/>
  <c r="G8" i="14"/>
  <c r="F8" i="14" s="1"/>
  <c r="O8" i="14" s="1"/>
  <c r="G11" i="14"/>
  <c r="F11" i="14" s="1"/>
  <c r="G27" i="14"/>
  <c r="F27" i="14" s="1"/>
  <c r="H27" i="14" s="1"/>
  <c r="I27" i="14" s="1"/>
  <c r="G48" i="14"/>
  <c r="F48" i="14" s="1"/>
  <c r="L48" i="14" s="1"/>
  <c r="G63" i="14"/>
  <c r="F63" i="14" s="1"/>
  <c r="H63" i="14" s="1"/>
  <c r="I63" i="14" s="1"/>
  <c r="G6" i="14"/>
  <c r="F6" i="14" s="1"/>
  <c r="E51" i="16" s="1"/>
  <c r="C14" i="3"/>
  <c r="L34" i="8" s="1"/>
  <c r="Z12" i="16"/>
  <c r="Z5" i="16"/>
  <c r="Z8" i="16"/>
  <c r="Z11" i="16"/>
  <c r="Z3" i="16"/>
  <c r="X11" i="16" s="1"/>
  <c r="M5" i="7"/>
  <c r="D22" i="8"/>
  <c r="H54" i="7"/>
  <c r="C38" i="3"/>
  <c r="C40" i="3" s="1"/>
  <c r="L17" i="8" s="1"/>
  <c r="J104" i="11"/>
  <c r="W7" i="16"/>
  <c r="Z6" i="16"/>
  <c r="Z7" i="16"/>
  <c r="Z4" i="16"/>
  <c r="L5" i="8"/>
  <c r="L13" i="8"/>
  <c r="G17" i="11"/>
  <c r="L7" i="8"/>
  <c r="J5" i="7"/>
  <c r="M7" i="7"/>
  <c r="J7" i="7"/>
  <c r="AB28" i="12"/>
  <c r="C9" i="3"/>
  <c r="C10" i="3" s="1"/>
  <c r="G7" i="14"/>
  <c r="F7" i="14" s="1"/>
  <c r="G14" i="14"/>
  <c r="F14" i="14" s="1"/>
  <c r="L14" i="14" s="1"/>
  <c r="J17" i="7"/>
  <c r="L28" i="8" s="1"/>
  <c r="L32" i="8" s="1"/>
  <c r="G16" i="14"/>
  <c r="F16" i="14" s="1"/>
  <c r="G38" i="14"/>
  <c r="F38" i="14" s="1"/>
  <c r="G53" i="14"/>
  <c r="F53" i="14" s="1"/>
  <c r="G9" i="14"/>
  <c r="F9" i="14" s="1"/>
  <c r="G20" i="14"/>
  <c r="F20" i="14" s="1"/>
  <c r="O20" i="14" s="1"/>
  <c r="G42" i="14"/>
  <c r="F42" i="14" s="1"/>
  <c r="H42" i="14" s="1"/>
  <c r="I42" i="14" s="1"/>
  <c r="G56" i="14"/>
  <c r="F56" i="14" s="1"/>
  <c r="H56" i="14" s="1"/>
  <c r="H11" i="8"/>
  <c r="J15" i="7"/>
  <c r="G10" i="14"/>
  <c r="F10" i="14" s="1"/>
  <c r="L10" i="14" s="1"/>
  <c r="G24" i="14"/>
  <c r="F24" i="14" s="1"/>
  <c r="H24" i="14" s="1"/>
  <c r="G45" i="14"/>
  <c r="F45" i="14" s="1"/>
  <c r="L45" i="14" s="1"/>
  <c r="G61" i="14"/>
  <c r="F61" i="14" s="1"/>
  <c r="E59" i="16"/>
  <c r="E9" i="2"/>
  <c r="C12" i="5"/>
  <c r="L9" i="8" s="1"/>
  <c r="C8" i="5"/>
  <c r="F13" i="2"/>
  <c r="B44" i="2"/>
  <c r="C45" i="2"/>
  <c r="C5" i="2"/>
  <c r="B4" i="2"/>
  <c r="W11" i="16"/>
  <c r="W4" i="16"/>
  <c r="W8" i="16"/>
  <c r="W3" i="16"/>
  <c r="W6" i="16"/>
  <c r="W10" i="16"/>
  <c r="C43" i="5"/>
  <c r="F44" i="2"/>
  <c r="E43" i="2"/>
  <c r="O34" i="12"/>
  <c r="O35" i="12" s="1"/>
  <c r="D27" i="8"/>
  <c r="D29" i="8" s="1"/>
  <c r="G12" i="14"/>
  <c r="F12" i="14" s="1"/>
  <c r="G15" i="14"/>
  <c r="F15" i="14" s="1"/>
  <c r="G17" i="14"/>
  <c r="F17" i="14" s="1"/>
  <c r="G21" i="14"/>
  <c r="F21" i="14" s="1"/>
  <c r="G25" i="14"/>
  <c r="F25" i="14" s="1"/>
  <c r="G34" i="14"/>
  <c r="F34" i="14" s="1"/>
  <c r="G40" i="14"/>
  <c r="F40" i="14" s="1"/>
  <c r="G44" i="14"/>
  <c r="F44" i="14" s="1"/>
  <c r="G46" i="14"/>
  <c r="F46" i="14" s="1"/>
  <c r="G52" i="14"/>
  <c r="F52" i="14" s="1"/>
  <c r="G55" i="14"/>
  <c r="F55" i="14" s="1"/>
  <c r="G58" i="14"/>
  <c r="F58" i="14" s="1"/>
  <c r="D33" i="17"/>
  <c r="D31" i="15"/>
  <c r="D31" i="17"/>
  <c r="D32" i="17"/>
  <c r="D33" i="15"/>
  <c r="D29" i="17"/>
  <c r="D30" i="15"/>
  <c r="D32" i="15"/>
  <c r="D29" i="15"/>
  <c r="D30" i="17"/>
  <c r="C39" i="5" l="1"/>
  <c r="C17" i="5"/>
  <c r="C21" i="3"/>
  <c r="X12" i="16"/>
  <c r="L13" i="11"/>
  <c r="X9" i="16"/>
  <c r="X4" i="16"/>
  <c r="X8" i="16"/>
  <c r="L68" i="11" s="1"/>
  <c r="X3" i="16"/>
  <c r="X7" i="16"/>
  <c r="X6" i="16"/>
  <c r="R23" i="12"/>
  <c r="Q8" i="14"/>
  <c r="P8" i="14"/>
  <c r="L68" i="14"/>
  <c r="O68" i="14"/>
  <c r="P68" i="14" s="1"/>
  <c r="N71" i="14"/>
  <c r="Q71" i="14"/>
  <c r="P71" i="14"/>
  <c r="R71" i="14" s="1"/>
  <c r="O67" i="14"/>
  <c r="P67" i="14" s="1"/>
  <c r="H70" i="14"/>
  <c r="I70" i="14" s="1"/>
  <c r="O70" i="14"/>
  <c r="L70" i="14"/>
  <c r="Q68" i="14"/>
  <c r="O65" i="14"/>
  <c r="Q65" i="14" s="1"/>
  <c r="L65" i="14"/>
  <c r="L62" i="14"/>
  <c r="H66" i="14"/>
  <c r="I66" i="14" s="1"/>
  <c r="O66" i="14"/>
  <c r="L66" i="14"/>
  <c r="L67" i="14"/>
  <c r="L59" i="14"/>
  <c r="H69" i="14"/>
  <c r="I69" i="14" s="1"/>
  <c r="O69" i="14"/>
  <c r="L69" i="14"/>
  <c r="O62" i="14"/>
  <c r="P62" i="14" s="1"/>
  <c r="H64" i="14"/>
  <c r="I64" i="14" s="1"/>
  <c r="O64" i="14"/>
  <c r="L64" i="14"/>
  <c r="O59" i="14"/>
  <c r="N59" i="14" s="1"/>
  <c r="O51" i="14"/>
  <c r="P51" i="14" s="1"/>
  <c r="H60" i="14"/>
  <c r="I60" i="14" s="1"/>
  <c r="O60" i="14"/>
  <c r="L60" i="14"/>
  <c r="L54" i="14"/>
  <c r="O54" i="14"/>
  <c r="N54" i="14" s="1"/>
  <c r="H57" i="14"/>
  <c r="I57" i="14" s="1"/>
  <c r="L57" i="14"/>
  <c r="O57" i="14"/>
  <c r="L51" i="14"/>
  <c r="H22" i="14"/>
  <c r="O22" i="14"/>
  <c r="L22" i="14"/>
  <c r="O47" i="14"/>
  <c r="H47" i="14"/>
  <c r="I47" i="14" s="1"/>
  <c r="H49" i="14"/>
  <c r="O49" i="14"/>
  <c r="L49" i="14"/>
  <c r="L43" i="14"/>
  <c r="O39" i="14"/>
  <c r="Q39" i="14" s="1"/>
  <c r="O43" i="14"/>
  <c r="H50" i="14"/>
  <c r="I50" i="14" s="1"/>
  <c r="O50" i="14"/>
  <c r="L50" i="14"/>
  <c r="H39" i="14"/>
  <c r="I39" i="14" s="1"/>
  <c r="H41" i="14"/>
  <c r="I41" i="14" s="1"/>
  <c r="L41" i="14"/>
  <c r="O41" i="14"/>
  <c r="O36" i="14"/>
  <c r="H36" i="14"/>
  <c r="I36" i="14" s="1"/>
  <c r="H37" i="14"/>
  <c r="L37" i="14"/>
  <c r="O37" i="14"/>
  <c r="L30" i="14"/>
  <c r="H30" i="14"/>
  <c r="I30" i="14" s="1"/>
  <c r="H35" i="14"/>
  <c r="L35" i="14"/>
  <c r="O35" i="14"/>
  <c r="H32" i="14"/>
  <c r="I32" i="14" s="1"/>
  <c r="P30" i="14"/>
  <c r="O32" i="14"/>
  <c r="H33" i="14"/>
  <c r="I33" i="14" s="1"/>
  <c r="L33" i="14"/>
  <c r="O33" i="14"/>
  <c r="O28" i="14"/>
  <c r="P28" i="14" s="1"/>
  <c r="L28" i="14"/>
  <c r="L29" i="14"/>
  <c r="O19" i="14"/>
  <c r="Q19" i="14" s="1"/>
  <c r="O48" i="14"/>
  <c r="Q48" i="14" s="1"/>
  <c r="H26" i="14"/>
  <c r="I26" i="14" s="1"/>
  <c r="L26" i="14"/>
  <c r="O26" i="14"/>
  <c r="O29" i="14"/>
  <c r="P29" i="14" s="1"/>
  <c r="H31" i="14"/>
  <c r="L31" i="14"/>
  <c r="O31" i="14"/>
  <c r="L19" i="14"/>
  <c r="I29" i="14"/>
  <c r="H23" i="14"/>
  <c r="I23" i="14" s="1"/>
  <c r="O23" i="14"/>
  <c r="L23" i="14"/>
  <c r="L13" i="14"/>
  <c r="L8" i="14"/>
  <c r="I19" i="14"/>
  <c r="O13" i="14"/>
  <c r="L27" i="14"/>
  <c r="H18" i="14"/>
  <c r="L18" i="14"/>
  <c r="O18" i="14"/>
  <c r="H8" i="14"/>
  <c r="I8" i="14" s="1"/>
  <c r="I13" i="14"/>
  <c r="H11" i="14"/>
  <c r="O11" i="14"/>
  <c r="L11" i="14"/>
  <c r="O63" i="14"/>
  <c r="N63" i="14" s="1"/>
  <c r="L63" i="14"/>
  <c r="O27" i="14"/>
  <c r="Q27" i="14" s="1"/>
  <c r="H48" i="14"/>
  <c r="H6" i="14"/>
  <c r="L6" i="14"/>
  <c r="O6" i="14"/>
  <c r="L21" i="12"/>
  <c r="X5" i="16"/>
  <c r="X10" i="16"/>
  <c r="C20" i="3"/>
  <c r="F30" i="17"/>
  <c r="C35" i="5"/>
  <c r="K23" i="12" s="1"/>
  <c r="C19" i="5"/>
  <c r="G35" i="17"/>
  <c r="C21" i="5" s="1"/>
  <c r="C20" i="5"/>
  <c r="C18" i="5"/>
  <c r="D34" i="17"/>
  <c r="D35" i="17"/>
  <c r="D35" i="15"/>
  <c r="E61" i="16" s="1"/>
  <c r="G35" i="15"/>
  <c r="C23" i="3" s="1"/>
  <c r="F30" i="15"/>
  <c r="C19" i="3" s="1"/>
  <c r="C22" i="3"/>
  <c r="D34" i="15"/>
  <c r="H10" i="14"/>
  <c r="O10" i="14"/>
  <c r="Q10" i="14" s="1"/>
  <c r="L42" i="14"/>
  <c r="H7" i="14"/>
  <c r="I7" i="14" s="1"/>
  <c r="L7" i="14"/>
  <c r="O7" i="14"/>
  <c r="Q7" i="14" s="1"/>
  <c r="H14" i="14"/>
  <c r="O14" i="14"/>
  <c r="O42" i="14"/>
  <c r="Q42" i="14" s="1"/>
  <c r="L61" i="14"/>
  <c r="H61" i="14"/>
  <c r="O61" i="14"/>
  <c r="J23" i="7"/>
  <c r="D25" i="8"/>
  <c r="L16" i="14"/>
  <c r="O16" i="14"/>
  <c r="H16" i="14"/>
  <c r="I16" i="14" s="1"/>
  <c r="H9" i="14"/>
  <c r="L9" i="14"/>
  <c r="O9" i="14"/>
  <c r="H45" i="14"/>
  <c r="I45" i="14" s="1"/>
  <c r="H20" i="14"/>
  <c r="I20" i="14" s="1"/>
  <c r="L20" i="14"/>
  <c r="O24" i="14"/>
  <c r="N24" i="14" s="1"/>
  <c r="L24" i="14"/>
  <c r="O56" i="14"/>
  <c r="L56" i="14"/>
  <c r="L53" i="14"/>
  <c r="H53" i="14"/>
  <c r="O53" i="14"/>
  <c r="O45" i="14"/>
  <c r="Q45" i="14" s="1"/>
  <c r="O38" i="14"/>
  <c r="Q38" i="14" s="1"/>
  <c r="L38" i="14"/>
  <c r="H38" i="14"/>
  <c r="H52" i="14"/>
  <c r="L52" i="14"/>
  <c r="O52" i="14"/>
  <c r="L34" i="14"/>
  <c r="O34" i="14"/>
  <c r="H34" i="14"/>
  <c r="O15" i="14"/>
  <c r="H15" i="14"/>
  <c r="L15" i="14"/>
  <c r="F45" i="2"/>
  <c r="E44" i="2"/>
  <c r="L12" i="14"/>
  <c r="O12" i="14"/>
  <c r="H12" i="14"/>
  <c r="F14" i="2"/>
  <c r="E12" i="2"/>
  <c r="C18" i="3"/>
  <c r="I24" i="14"/>
  <c r="H44" i="14"/>
  <c r="L44" i="14"/>
  <c r="O44" i="14"/>
  <c r="J42" i="11"/>
  <c r="G23" i="12" s="1"/>
  <c r="P20" i="14"/>
  <c r="Q20" i="14"/>
  <c r="C45" i="5"/>
  <c r="H46" i="14"/>
  <c r="L46" i="14"/>
  <c r="O46" i="14"/>
  <c r="O25" i="14"/>
  <c r="H25" i="14"/>
  <c r="L25" i="14"/>
  <c r="O58" i="14"/>
  <c r="L58" i="14"/>
  <c r="H58" i="14"/>
  <c r="H21" i="14"/>
  <c r="O21" i="14"/>
  <c r="L21" i="14"/>
  <c r="O55" i="14"/>
  <c r="H55" i="14"/>
  <c r="L55" i="14"/>
  <c r="O40" i="14"/>
  <c r="L40" i="14"/>
  <c r="H40" i="14"/>
  <c r="H17" i="14"/>
  <c r="L17" i="14"/>
  <c r="O17" i="14"/>
  <c r="C16" i="5"/>
  <c r="C6" i="2"/>
  <c r="B5" i="2"/>
  <c r="B45" i="2"/>
  <c r="C46" i="2"/>
  <c r="I56" i="14"/>
  <c r="C22" i="5" l="1"/>
  <c r="D34" i="8" s="1"/>
  <c r="E37" i="16"/>
  <c r="R68" i="14"/>
  <c r="N62" i="14"/>
  <c r="N67" i="14"/>
  <c r="Q11" i="14"/>
  <c r="P11" i="14"/>
  <c r="R11" i="14" s="1"/>
  <c r="Q31" i="14"/>
  <c r="P31" i="14"/>
  <c r="R31" i="14" s="1"/>
  <c r="Q33" i="14"/>
  <c r="P33" i="14"/>
  <c r="R33" i="14" s="1"/>
  <c r="Q41" i="14"/>
  <c r="P41" i="14"/>
  <c r="R41" i="14" s="1"/>
  <c r="R62" i="14"/>
  <c r="Q13" i="14"/>
  <c r="P13" i="14"/>
  <c r="R13" i="14" s="1"/>
  <c r="Q32" i="14"/>
  <c r="P32" i="14"/>
  <c r="R32" i="14" s="1"/>
  <c r="Q36" i="14"/>
  <c r="P36" i="14"/>
  <c r="R36" i="14" s="1"/>
  <c r="P43" i="14"/>
  <c r="R43" i="14" s="1"/>
  <c r="Q43" i="14"/>
  <c r="Q67" i="14"/>
  <c r="Q6" i="14"/>
  <c r="P6" i="14"/>
  <c r="R6" i="14" s="1"/>
  <c r="Q23" i="14"/>
  <c r="P23" i="14"/>
  <c r="R23" i="14" s="1"/>
  <c r="Q35" i="14"/>
  <c r="P35" i="14"/>
  <c r="R35" i="14" s="1"/>
  <c r="Q47" i="14"/>
  <c r="P47" i="14"/>
  <c r="N68" i="14"/>
  <c r="P65" i="14"/>
  <c r="R65" i="14" s="1"/>
  <c r="N65" i="14"/>
  <c r="N70" i="14"/>
  <c r="P70" i="14"/>
  <c r="R70" i="14" s="1"/>
  <c r="Q70" i="14"/>
  <c r="N43" i="14"/>
  <c r="R67" i="14"/>
  <c r="N66" i="14"/>
  <c r="P66" i="14"/>
  <c r="R66" i="14" s="1"/>
  <c r="Q66" i="14"/>
  <c r="Q54" i="14"/>
  <c r="P54" i="14"/>
  <c r="R54" i="14" s="1"/>
  <c r="Q62" i="14"/>
  <c r="N69" i="14"/>
  <c r="P69" i="14"/>
  <c r="R69" i="14" s="1"/>
  <c r="Q69" i="14"/>
  <c r="N51" i="14"/>
  <c r="P59" i="14"/>
  <c r="R59" i="14" s="1"/>
  <c r="Q59" i="14"/>
  <c r="Q51" i="14"/>
  <c r="N64" i="14"/>
  <c r="P64" i="14"/>
  <c r="R64" i="14" s="1"/>
  <c r="Q64" i="14"/>
  <c r="N60" i="14"/>
  <c r="Q60" i="14"/>
  <c r="P60" i="14"/>
  <c r="R60" i="14" s="1"/>
  <c r="N57" i="14"/>
  <c r="Q57" i="14"/>
  <c r="P57" i="14"/>
  <c r="R57" i="14" s="1"/>
  <c r="R51" i="14"/>
  <c r="R47" i="14"/>
  <c r="Q22" i="14"/>
  <c r="P22" i="14"/>
  <c r="R22" i="14" s="1"/>
  <c r="N47" i="14"/>
  <c r="N22" i="14"/>
  <c r="I22" i="14"/>
  <c r="N39" i="14"/>
  <c r="P39" i="14"/>
  <c r="R39" i="14" s="1"/>
  <c r="Q49" i="14"/>
  <c r="P49" i="14"/>
  <c r="R49" i="14" s="1"/>
  <c r="I49" i="14"/>
  <c r="N49" i="14"/>
  <c r="N50" i="14"/>
  <c r="P50" i="14"/>
  <c r="R50" i="14" s="1"/>
  <c r="Q50" i="14"/>
  <c r="N41" i="14"/>
  <c r="N36" i="14"/>
  <c r="N32" i="14"/>
  <c r="Q37" i="14"/>
  <c r="P37" i="14"/>
  <c r="R37" i="14" s="1"/>
  <c r="R30" i="14"/>
  <c r="N30" i="14"/>
  <c r="I37" i="14"/>
  <c r="N37" i="14"/>
  <c r="I35" i="14"/>
  <c r="N35" i="14"/>
  <c r="Q28" i="14"/>
  <c r="N48" i="14"/>
  <c r="N28" i="14"/>
  <c r="P48" i="14"/>
  <c r="R48" i="14" s="1"/>
  <c r="Q29" i="14"/>
  <c r="R28" i="14"/>
  <c r="R29" i="14"/>
  <c r="N33" i="14"/>
  <c r="P19" i="14"/>
  <c r="R19" i="14" s="1"/>
  <c r="N19" i="14"/>
  <c r="N26" i="14"/>
  <c r="Q26" i="14"/>
  <c r="P26" i="14"/>
  <c r="R26" i="14" s="1"/>
  <c r="N29" i="14"/>
  <c r="I31" i="14"/>
  <c r="N31" i="14"/>
  <c r="N23" i="14"/>
  <c r="R8" i="14"/>
  <c r="N13" i="14"/>
  <c r="P27" i="14"/>
  <c r="R27" i="14" s="1"/>
  <c r="N8" i="14"/>
  <c r="Q18" i="14"/>
  <c r="P18" i="14"/>
  <c r="R18" i="14" s="1"/>
  <c r="N27" i="14"/>
  <c r="I18" i="14"/>
  <c r="N18" i="14"/>
  <c r="Q63" i="14"/>
  <c r="P63" i="14"/>
  <c r="R63" i="14" s="1"/>
  <c r="I11" i="14"/>
  <c r="N11" i="14"/>
  <c r="I48" i="14"/>
  <c r="N6" i="14"/>
  <c r="I6" i="14"/>
  <c r="C38" i="17"/>
  <c r="N20" i="14"/>
  <c r="C25" i="3"/>
  <c r="L83" i="7"/>
  <c r="C33" i="7" s="1"/>
  <c r="D11" i="7"/>
  <c r="L24" i="8"/>
  <c r="C38" i="15"/>
  <c r="C36" i="3" s="1"/>
  <c r="C39" i="3" s="1"/>
  <c r="C41" i="3" s="1"/>
  <c r="C24" i="3"/>
  <c r="F36" i="8" s="1"/>
  <c r="P7" i="14"/>
  <c r="R7" i="14" s="1"/>
  <c r="N10" i="14"/>
  <c r="N42" i="14"/>
  <c r="R20" i="14"/>
  <c r="P10" i="14"/>
  <c r="R10" i="14" s="1"/>
  <c r="P42" i="14"/>
  <c r="R42" i="14" s="1"/>
  <c r="I10" i="14"/>
  <c r="N7" i="14"/>
  <c r="P45" i="14"/>
  <c r="R45" i="14" s="1"/>
  <c r="N45" i="14"/>
  <c r="P14" i="14"/>
  <c r="R14" i="14" s="1"/>
  <c r="Q14" i="14"/>
  <c r="N14" i="14"/>
  <c r="I14" i="14"/>
  <c r="P38" i="14"/>
  <c r="R38" i="14" s="1"/>
  <c r="P53" i="14"/>
  <c r="R53" i="14" s="1"/>
  <c r="Q53" i="14"/>
  <c r="Q56" i="14"/>
  <c r="P56" i="14"/>
  <c r="R56" i="14" s="1"/>
  <c r="Q9" i="14"/>
  <c r="P9" i="14"/>
  <c r="R9" i="14" s="1"/>
  <c r="N16" i="14"/>
  <c r="P16" i="14"/>
  <c r="R16" i="14" s="1"/>
  <c r="Q16" i="14"/>
  <c r="Q61" i="14"/>
  <c r="P61" i="14"/>
  <c r="R61" i="14" s="1"/>
  <c r="N53" i="14"/>
  <c r="I53" i="14"/>
  <c r="I61" i="14"/>
  <c r="N61" i="14"/>
  <c r="N56" i="14"/>
  <c r="N38" i="14"/>
  <c r="I38" i="14"/>
  <c r="Q24" i="14"/>
  <c r="P24" i="14"/>
  <c r="R24" i="14" s="1"/>
  <c r="I9" i="14"/>
  <c r="N9" i="14"/>
  <c r="C7" i="2"/>
  <c r="B6" i="2"/>
  <c r="P17" i="14"/>
  <c r="R17" i="14" s="1"/>
  <c r="Q17" i="14"/>
  <c r="Q55" i="14"/>
  <c r="P55" i="14"/>
  <c r="R55" i="14" s="1"/>
  <c r="I58" i="14"/>
  <c r="N58" i="14"/>
  <c r="N25" i="14"/>
  <c r="I25" i="14"/>
  <c r="N46" i="14"/>
  <c r="I46" i="14"/>
  <c r="Q44" i="14"/>
  <c r="P44" i="14"/>
  <c r="R44" i="14" s="1"/>
  <c r="N15" i="14"/>
  <c r="I15" i="14"/>
  <c r="B46" i="2"/>
  <c r="C47" i="2"/>
  <c r="Q40" i="14"/>
  <c r="P40" i="14"/>
  <c r="R40" i="14" s="1"/>
  <c r="P25" i="14"/>
  <c r="R25" i="14" s="1"/>
  <c r="Q25" i="14"/>
  <c r="C23" i="5"/>
  <c r="Q15" i="14"/>
  <c r="P15" i="14"/>
  <c r="R15" i="14" s="1"/>
  <c r="P52" i="14"/>
  <c r="R52" i="14" s="1"/>
  <c r="Q52" i="14"/>
  <c r="P58" i="14"/>
  <c r="R58" i="14" s="1"/>
  <c r="Q58" i="14"/>
  <c r="P46" i="14"/>
  <c r="R46" i="14" s="1"/>
  <c r="Q46" i="14"/>
  <c r="I44" i="14"/>
  <c r="N44" i="14"/>
  <c r="N12" i="14"/>
  <c r="I12" i="14"/>
  <c r="E45" i="2"/>
  <c r="F46" i="2"/>
  <c r="N34" i="14"/>
  <c r="I34" i="14"/>
  <c r="N17" i="14"/>
  <c r="I17" i="14"/>
  <c r="P21" i="14"/>
  <c r="R21" i="14" s="1"/>
  <c r="Q21" i="14"/>
  <c r="I40" i="14"/>
  <c r="N40" i="14"/>
  <c r="I55" i="14"/>
  <c r="N55" i="14"/>
  <c r="N21" i="14"/>
  <c r="I21" i="14"/>
  <c r="E13" i="2"/>
  <c r="F15" i="2"/>
  <c r="Q12" i="14"/>
  <c r="P12" i="14"/>
  <c r="R12" i="14" s="1"/>
  <c r="P34" i="14"/>
  <c r="R34" i="14" s="1"/>
  <c r="Q34" i="14"/>
  <c r="N52" i="14"/>
  <c r="I52" i="14"/>
  <c r="C42" i="3" l="1"/>
  <c r="C45" i="3"/>
  <c r="C24" i="5"/>
  <c r="C37" i="5" s="1"/>
  <c r="C41" i="5" s="1"/>
  <c r="W21" i="12"/>
  <c r="E25" i="3"/>
  <c r="C26" i="3"/>
  <c r="C43" i="3" s="1"/>
  <c r="J100" i="11"/>
  <c r="W23" i="12"/>
  <c r="J108" i="11"/>
  <c r="E46" i="2"/>
  <c r="F47" i="2"/>
  <c r="B47" i="2"/>
  <c r="C48" i="2"/>
  <c r="C44" i="5"/>
  <c r="C36" i="5"/>
  <c r="C40" i="5" s="1"/>
  <c r="E23" i="5"/>
  <c r="B7" i="2"/>
  <c r="C8" i="2"/>
  <c r="F16" i="2"/>
  <c r="E14" i="2"/>
  <c r="C46" i="3" l="1"/>
  <c r="C50" i="3" s="1"/>
  <c r="C47" i="5"/>
  <c r="C52" i="5" s="1"/>
  <c r="C55" i="5" s="1"/>
  <c r="C58" i="5" s="1"/>
  <c r="C62" i="5" s="1"/>
  <c r="C66" i="5" s="1"/>
  <c r="C47" i="3"/>
  <c r="C51" i="3" s="1"/>
  <c r="AB27" i="12" s="1"/>
  <c r="C46" i="5"/>
  <c r="C51" i="5" s="1"/>
  <c r="C49" i="2"/>
  <c r="B48" i="2"/>
  <c r="E15" i="2"/>
  <c r="F17" i="2"/>
  <c r="B8" i="2"/>
  <c r="C9" i="2"/>
  <c r="E47" i="2"/>
  <c r="F48" i="2"/>
  <c r="G9" i="8" l="1"/>
  <c r="K38" i="20" s="1"/>
  <c r="E67" i="16"/>
  <c r="X27" i="12"/>
  <c r="D9" i="8"/>
  <c r="T27" i="12"/>
  <c r="F18" i="2"/>
  <c r="E16" i="2"/>
  <c r="C54" i="5"/>
  <c r="D7" i="8"/>
  <c r="E48" i="2"/>
  <c r="F49" i="2"/>
  <c r="C10" i="2"/>
  <c r="B9" i="2"/>
  <c r="C50" i="2"/>
  <c r="B49" i="2"/>
  <c r="T4" i="20" l="1"/>
  <c r="Q88" i="7"/>
  <c r="E70" i="16"/>
  <c r="E72" i="16"/>
  <c r="E63" i="16"/>
  <c r="E55" i="16"/>
  <c r="E57" i="16"/>
  <c r="E53" i="16"/>
  <c r="D16" i="8"/>
  <c r="AE14" i="12" s="1"/>
  <c r="G53" i="16"/>
  <c r="D18" i="8"/>
  <c r="H67" i="16"/>
  <c r="C57" i="5"/>
  <c r="E41" i="16"/>
  <c r="G7" i="8"/>
  <c r="K39" i="20" s="1"/>
  <c r="T29" i="12"/>
  <c r="M27" i="12"/>
  <c r="B10" i="2"/>
  <c r="C11" i="2"/>
  <c r="F50" i="2"/>
  <c r="E49" i="2"/>
  <c r="B50" i="2"/>
  <c r="C51" i="2"/>
  <c r="F19" i="2"/>
  <c r="E17" i="2"/>
  <c r="AB13" i="12" l="1"/>
  <c r="J76" i="16"/>
  <c r="T7" i="20"/>
  <c r="Q91" i="7"/>
  <c r="E44" i="16"/>
  <c r="E46" i="16"/>
  <c r="E33" i="16"/>
  <c r="E39" i="16"/>
  <c r="G29" i="16"/>
  <c r="E31" i="16"/>
  <c r="E29" i="16"/>
  <c r="H41" i="16"/>
  <c r="D11" i="8"/>
  <c r="D13" i="8" s="1"/>
  <c r="AE12" i="12" s="1"/>
  <c r="E50" i="2"/>
  <c r="F51" i="2"/>
  <c r="E18" i="2"/>
  <c r="F20" i="2"/>
  <c r="B51" i="2"/>
  <c r="C52" i="2"/>
  <c r="B11" i="2"/>
  <c r="C12" i="2"/>
  <c r="C61" i="5"/>
  <c r="P23" i="12"/>
  <c r="AE11" i="12" l="1"/>
  <c r="B13" i="12"/>
  <c r="AH13" i="12"/>
  <c r="C53" i="2"/>
  <c r="B52" i="2"/>
  <c r="E51" i="2"/>
  <c r="F52" i="2"/>
  <c r="C65" i="5"/>
  <c r="F21" i="2"/>
  <c r="E19" i="2"/>
  <c r="B12" i="2"/>
  <c r="C13" i="2"/>
  <c r="F53" i="2" l="1"/>
  <c r="E52" i="2"/>
  <c r="E20" i="2"/>
  <c r="F22" i="2"/>
  <c r="C14" i="2"/>
  <c r="B13" i="2"/>
  <c r="B53" i="2"/>
  <c r="C54" i="2"/>
  <c r="E21" i="2" l="1"/>
  <c r="F23" i="2"/>
  <c r="C55" i="2"/>
  <c r="B54" i="2"/>
  <c r="C15" i="2"/>
  <c r="B14" i="2"/>
  <c r="F54" i="2"/>
  <c r="E53" i="2"/>
  <c r="C56" i="2" l="1"/>
  <c r="B55" i="2"/>
  <c r="E22" i="2"/>
  <c r="F24" i="2"/>
  <c r="E54" i="2"/>
  <c r="F55" i="2"/>
  <c r="C16" i="2"/>
  <c r="B15" i="2"/>
  <c r="F25" i="2" l="1"/>
  <c r="E23" i="2"/>
  <c r="C17" i="2"/>
  <c r="B16" i="2"/>
  <c r="F56" i="2"/>
  <c r="E55" i="2"/>
  <c r="C57" i="2"/>
  <c r="B56" i="2"/>
  <c r="C58" i="2" l="1"/>
  <c r="B57" i="2"/>
  <c r="B17" i="2"/>
  <c r="C18" i="2"/>
  <c r="F57" i="2"/>
  <c r="E56" i="2"/>
  <c r="F26" i="2"/>
  <c r="E24" i="2"/>
  <c r="C19" i="2" l="1"/>
  <c r="B18" i="2"/>
  <c r="E25" i="2"/>
  <c r="F27" i="2"/>
  <c r="F58" i="2"/>
  <c r="E57" i="2"/>
  <c r="B58" i="2"/>
  <c r="C59" i="2"/>
  <c r="F28" i="2" l="1"/>
  <c r="E26" i="2"/>
  <c r="C60" i="2"/>
  <c r="B59" i="2"/>
  <c r="F59" i="2"/>
  <c r="E58" i="2"/>
  <c r="B19" i="2"/>
  <c r="C20" i="2"/>
  <c r="C21" i="2" l="1"/>
  <c r="B20" i="2"/>
  <c r="C61" i="2"/>
  <c r="B60" i="2"/>
  <c r="F60" i="2"/>
  <c r="E59" i="2"/>
  <c r="E27" i="2"/>
  <c r="F29" i="2"/>
  <c r="F30" i="2" l="1"/>
  <c r="E28" i="2"/>
  <c r="B61" i="2"/>
  <c r="C62" i="2"/>
  <c r="E60" i="2"/>
  <c r="F61" i="2"/>
  <c r="C22" i="2"/>
  <c r="B21" i="2"/>
  <c r="C63" i="2" l="1"/>
  <c r="B62" i="2"/>
  <c r="B22" i="2"/>
  <c r="C23" i="2"/>
  <c r="F62" i="2"/>
  <c r="E61" i="2"/>
  <c r="E29" i="2"/>
  <c r="F31" i="2"/>
  <c r="E30" i="2" l="1"/>
  <c r="F32" i="2"/>
  <c r="C24" i="2"/>
  <c r="B23" i="2"/>
  <c r="E62" i="2"/>
  <c r="F63" i="2"/>
  <c r="C64" i="2"/>
  <c r="B63" i="2"/>
  <c r="C65" i="2" l="1"/>
  <c r="B64" i="2"/>
  <c r="C25" i="2"/>
  <c r="B24" i="2"/>
  <c r="F64" i="2"/>
  <c r="E63" i="2"/>
  <c r="F33" i="2"/>
  <c r="E31" i="2"/>
  <c r="F34" i="2" l="1"/>
  <c r="E32" i="2"/>
  <c r="B25" i="2"/>
  <c r="C26" i="2"/>
  <c r="E64" i="2"/>
  <c r="F65" i="2"/>
  <c r="B65" i="2"/>
  <c r="C66" i="2"/>
  <c r="B66" i="2" l="1"/>
  <c r="C67" i="2"/>
  <c r="C27" i="2"/>
  <c r="B26" i="2"/>
  <c r="F66" i="2"/>
  <c r="E65" i="2"/>
  <c r="F35" i="2"/>
  <c r="E33" i="2"/>
  <c r="F36" i="2" l="1"/>
  <c r="E34" i="2"/>
  <c r="C28" i="2"/>
  <c r="B27" i="2"/>
  <c r="C68" i="2"/>
  <c r="B67" i="2"/>
  <c r="E66" i="2"/>
  <c r="F67" i="2"/>
  <c r="E67" i="2" l="1"/>
  <c r="F68" i="2"/>
  <c r="B28" i="2"/>
  <c r="C29" i="2"/>
  <c r="B68" i="2"/>
  <c r="C69" i="2"/>
  <c r="F37" i="2"/>
  <c r="E35" i="2"/>
  <c r="C30" i="2" l="1"/>
  <c r="B29" i="2"/>
  <c r="B69" i="2"/>
  <c r="C70" i="2"/>
  <c r="E68" i="2"/>
  <c r="F69" i="2"/>
  <c r="E36" i="2"/>
  <c r="F38" i="2"/>
  <c r="C71" i="2" l="1"/>
  <c r="B70" i="2"/>
  <c r="F39" i="2"/>
  <c r="E37" i="2"/>
  <c r="E69" i="2"/>
  <c r="F70" i="2"/>
  <c r="B30" i="2"/>
  <c r="C31" i="2"/>
  <c r="C32" i="2" l="1"/>
  <c r="B31" i="2"/>
  <c r="E38" i="2"/>
  <c r="F40" i="2"/>
  <c r="E39" i="2" s="1"/>
  <c r="E70" i="2"/>
  <c r="F71" i="2"/>
  <c r="C72" i="2"/>
  <c r="B71" i="2"/>
  <c r="C73" i="2" l="1"/>
  <c r="B72" i="2"/>
  <c r="E71" i="2"/>
  <c r="F72" i="2"/>
  <c r="B32" i="2"/>
  <c r="C33" i="2"/>
  <c r="F73" i="2" l="1"/>
  <c r="E72" i="2"/>
  <c r="C34" i="2"/>
  <c r="B33" i="2"/>
  <c r="B73" i="2"/>
  <c r="C74" i="2"/>
  <c r="B34" i="2" l="1"/>
  <c r="C35" i="2"/>
  <c r="C75" i="2"/>
  <c r="B74" i="2"/>
  <c r="E73" i="2"/>
  <c r="F74" i="2"/>
  <c r="B75" i="2" l="1"/>
  <c r="C76" i="2"/>
  <c r="C36" i="2"/>
  <c r="B35" i="2"/>
  <c r="E74" i="2"/>
  <c r="F75" i="2"/>
  <c r="B36" i="2" l="1"/>
  <c r="C37" i="2"/>
  <c r="E75" i="2"/>
  <c r="F76" i="2"/>
  <c r="C77" i="2"/>
  <c r="B76" i="2"/>
  <c r="E76" i="2" l="1"/>
  <c r="F77" i="2"/>
  <c r="B37" i="2"/>
  <c r="C38" i="2"/>
  <c r="C78" i="2"/>
  <c r="B77" i="2"/>
  <c r="C39" i="2" l="1"/>
  <c r="B38" i="2"/>
  <c r="E77" i="2"/>
  <c r="F78" i="2"/>
  <c r="C79" i="2"/>
  <c r="B79" i="2" s="1"/>
  <c r="B78" i="2"/>
  <c r="E78" i="2" l="1"/>
  <c r="F79" i="2"/>
  <c r="E79" i="2" s="1"/>
  <c r="B39" i="2"/>
  <c r="C40" i="2"/>
  <c r="B40"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customer</author>
  </authors>
  <commentList>
    <comment ref="B6" authorId="0" shapeId="0" xr:uid="{00000000-0006-0000-0000-000001000000}">
      <text>
        <r>
          <rPr>
            <sz val="8"/>
            <color indexed="81"/>
            <rFont val="Tahoma"/>
            <family val="2"/>
          </rPr>
          <t xml:space="preserve">
</t>
        </r>
        <r>
          <rPr>
            <sz val="10"/>
            <color indexed="81"/>
            <rFont val="Tahoma"/>
            <family val="2"/>
          </rPr>
          <t xml:space="preserve">It is intended that this Link Model can be used as a formal part of the documentation of your satellite program.  The "Title Page" Worksheet (W/S)  of this Excel Workbook is the means by which this is carried out.  If you are using the model in this capacity it becomes important to be able to track changes.  You will find that many versions of the model will be generated as new designs arise and old ones are modified.  This W/S is intended to contain sufficient information to allow the project personnel to clearly identify which version of the workbook you are using at the time.  Of course, self discipline is always important in documenting software.
First, it should be noted that NONE of the cells in this workbook are protected.  So, anything can be changed (or unintentionally erased).  So, the very first thing you should do is make several copies of this model so that there is always a master copy available.  That version should not be changed from the state in which you receive it.  Only use it to make more copies.  The development of this system uses a few basic principles involving the use of color.  These will be explained in detail in the next W/S.  The basics, however, need to be explained in this note.  
1) </t>
        </r>
        <r>
          <rPr>
            <sz val="10"/>
            <color indexed="10"/>
            <rFont val="Tahoma"/>
            <family val="2"/>
          </rPr>
          <t>RED</t>
        </r>
        <r>
          <rPr>
            <sz val="10"/>
            <color indexed="81"/>
            <rFont val="Tahoma"/>
            <family val="2"/>
          </rPr>
          <t xml:space="preserve"> text on a YELLOW background is intended to draw your attention to important cells -usually results and titles.  They are not to be modified, except on this sheet, University name and Project name should be modified the first time you use it.  This need only be done on this W/S as these cells will be copied, as appropriate, to the other W/S of the model.  If your project is not associated with a university then, of course you can simply modify the header of this W/S accordingly BUT, don't change the cell numbers into which you place your data or the names will not be propagated into the rest of the model correctly.
2) BLACK text should never be modified.  Black text is either used for labels or </t>
        </r>
        <r>
          <rPr>
            <b/>
            <sz val="10"/>
            <color indexed="81"/>
            <rFont val="Tahoma"/>
            <family val="2"/>
          </rPr>
          <t>contains formulas</t>
        </r>
        <r>
          <rPr>
            <sz val="10"/>
            <color indexed="81"/>
            <rFont val="Tahoma"/>
            <family val="2"/>
          </rPr>
          <t xml:space="preserve">.  Modification of black cell information will result in the loss of the formula once you hit "Enter."   That's not good unless you intend to change the formula.
3) Cells with </t>
        </r>
        <r>
          <rPr>
            <sz val="10"/>
            <color indexed="12"/>
            <rFont val="Tahoma"/>
            <family val="2"/>
          </rPr>
          <t>BLUE</t>
        </r>
        <r>
          <rPr>
            <sz val="10"/>
            <color indexed="81"/>
            <rFont val="Tahoma"/>
            <family val="2"/>
          </rPr>
          <t xml:space="preserve"> text are intended for Link Model Operator (that's you) modification.  If the cell has a blue background, that means it is critical that you enter the correct data for your spacecraft or ground station into that cell.
</t>
        </r>
      </text>
    </comment>
    <comment ref="K6" authorId="0" shapeId="0" xr:uid="{00000000-0006-0000-0000-000002000000}">
      <text>
        <r>
          <rPr>
            <sz val="8"/>
            <color indexed="81"/>
            <rFont val="Tahoma"/>
            <family val="2"/>
          </rPr>
          <t xml:space="preserve">
</t>
        </r>
        <r>
          <rPr>
            <b/>
            <sz val="10"/>
            <color indexed="81"/>
            <rFont val="Tahoma"/>
            <family val="2"/>
          </rPr>
          <t xml:space="preserve">Approvals:  </t>
        </r>
        <r>
          <rPr>
            <sz val="10"/>
            <color indexed="81"/>
            <rFont val="Tahoma"/>
            <family val="2"/>
          </rPr>
          <t>If the project is under formal control and this document is used within your documentation system, then the approval boxes below should be used.  In the approval process, when appropriate, each responsible project person should review this workbook and then approve it by placing a capital "X" in the cell associated with their function.  Upon ENTER the cell will change from RED to GREEN.  Once all approvals have been granted,  the "document released" indicator will be enabled.  You may wish to password protect cells I7, I10, I20 and I23 so that the release of this document is reasonably securely controlled.  They are not currently password protected.</t>
        </r>
      </text>
    </comment>
    <comment ref="B9" authorId="0" shapeId="0" xr:uid="{00000000-0006-0000-0000-000003000000}">
      <text>
        <r>
          <rPr>
            <sz val="8"/>
            <color indexed="81"/>
            <rFont val="Tahoma"/>
            <family val="2"/>
          </rPr>
          <t xml:space="preserve">
</t>
        </r>
        <r>
          <rPr>
            <b/>
            <sz val="10"/>
            <color indexed="81"/>
            <rFont val="Tahoma"/>
            <family val="2"/>
          </rPr>
          <t>Communication System Engineer:</t>
        </r>
        <r>
          <rPr>
            <sz val="10"/>
            <color indexed="81"/>
            <rFont val="Tahoma"/>
            <family val="2"/>
          </rPr>
          <t xml:space="preserve">  This cell should be modified to incorporate the name of the person acting as the communications engineer for your project. 
</t>
        </r>
        <r>
          <rPr>
            <b/>
            <sz val="10"/>
            <color indexed="81"/>
            <rFont val="Tahoma"/>
            <family val="2"/>
          </rPr>
          <t xml:space="preserve">Project Manager:  </t>
        </r>
        <r>
          <rPr>
            <sz val="10"/>
            <color indexed="81"/>
            <rFont val="Tahoma"/>
            <family val="2"/>
          </rPr>
          <t>This cell should be modified to incorporate the head of the project and the person who will have final authority and/or responsibility for the validity of all documents associated with your program.</t>
        </r>
      </text>
    </comment>
    <comment ref="B13" authorId="0" shapeId="0" xr:uid="{00000000-0006-0000-0000-000004000000}">
      <text>
        <r>
          <rPr>
            <sz val="8"/>
            <color rgb="FF000000"/>
            <rFont val="Tahoma"/>
            <family val="2"/>
          </rPr>
          <t xml:space="preserve">
</t>
        </r>
        <r>
          <rPr>
            <b/>
            <sz val="10"/>
            <color rgb="FF000000"/>
            <rFont val="Tahoma"/>
            <family val="2"/>
          </rPr>
          <t xml:space="preserve">Orbit Type:  </t>
        </r>
        <r>
          <rPr>
            <sz val="10"/>
            <color rgb="FF000000"/>
            <rFont val="Tahoma"/>
            <family val="2"/>
          </rPr>
          <t>Modify this cell to include a very brief but, accurate description of your orbit.  If the orbit changes you should modify this cell.  Also note that this cell is not linked to any of the data in the "Orbit" or "Frequency" W/S so, if you change data in that W/S you should change this summary as well.  That must be done manually.</t>
        </r>
      </text>
    </comment>
    <comment ref="B16" authorId="0" shapeId="0" xr:uid="{00000000-0006-0000-0000-000005000000}">
      <text>
        <r>
          <rPr>
            <sz val="8"/>
            <color indexed="81"/>
            <rFont val="Tahoma"/>
            <family val="2"/>
          </rPr>
          <t xml:space="preserve">
</t>
        </r>
        <r>
          <rPr>
            <b/>
            <sz val="10"/>
            <color indexed="81"/>
            <rFont val="Tahoma"/>
            <family val="2"/>
          </rPr>
          <t>Model Under Investigation:</t>
        </r>
        <r>
          <rPr>
            <sz val="10"/>
            <color indexed="81"/>
            <rFont val="Tahoma"/>
            <family val="2"/>
          </rPr>
          <t xml:space="preserve">  In this cell you should describe the basic characteristics of the spacecraft, it's properties or it's frequency that are unique to this particular CASE you are evaluating.  Update this cell every time you want to run a new CASE but be careful not to save this on top of the filename you used for the old case.   </t>
        </r>
      </text>
    </comment>
    <comment ref="B20" authorId="0" shapeId="0" xr:uid="{00000000-0006-0000-0000-000006000000}">
      <text>
        <r>
          <rPr>
            <sz val="8"/>
            <color indexed="81"/>
            <rFont val="Tahoma"/>
            <family val="2"/>
          </rPr>
          <t xml:space="preserve">
</t>
        </r>
        <r>
          <rPr>
            <b/>
            <sz val="10"/>
            <color indexed="81"/>
            <rFont val="Tahoma"/>
            <family val="2"/>
          </rPr>
          <t xml:space="preserve">Model/ Case No., Rev No.:  </t>
        </r>
        <r>
          <rPr>
            <sz val="10"/>
            <color indexed="81"/>
            <rFont val="Tahoma"/>
            <family val="2"/>
          </rPr>
          <t>You are encouraged here to invent a file naming/numbering system that is appropriate for your project.  Hopefully this model will be one of the documents you will use.  It should be given a document number consistent with that system and with your project drawing tree.  IMPORTANT:  Somewhere within this name should be the exact filename which you will use when you SAVE this particular version of the link model.  So before you hit the "SAVE" or "SAVE AS" key the last time, make sure you have modified this cell to include that same name.
If your project has a documentation specialist or someone responsible for project configuration and control, that person should complete this box.  If the link model has entered a formal phase then, once the model is deemed correct and accurate, that person should also check the box at Cell [I20].</t>
        </r>
      </text>
    </comment>
    <comment ref="B25" authorId="0" shapeId="0" xr:uid="{00000000-0006-0000-0000-000007000000}">
      <text>
        <r>
          <rPr>
            <sz val="8"/>
            <color indexed="81"/>
            <rFont val="Tahoma"/>
            <family val="2"/>
          </rPr>
          <t xml:space="preserve">
</t>
        </r>
        <r>
          <rPr>
            <b/>
            <sz val="10"/>
            <color indexed="81"/>
            <rFont val="Tahoma"/>
            <family val="2"/>
          </rPr>
          <t xml:space="preserve">Date Date Last Modified:  </t>
        </r>
        <r>
          <rPr>
            <sz val="10"/>
            <color indexed="81"/>
            <rFont val="Tahoma"/>
            <family val="2"/>
          </rPr>
          <t xml:space="preserve">Update this date whenever you SAVE the W/S if you have modified any of the BLUE cells.
</t>
        </r>
        <r>
          <rPr>
            <b/>
            <sz val="10"/>
            <color indexed="81"/>
            <rFont val="Tahoma"/>
            <family val="2"/>
          </rPr>
          <t xml:space="preserve">Date W/S Formulas Last Modified:  </t>
        </r>
        <r>
          <rPr>
            <sz val="10"/>
            <color indexed="81"/>
            <rFont val="Tahoma"/>
            <family val="2"/>
          </rPr>
          <t>If you choose to modify any of the formulas to improve upon this link model then modify the date in this cell consistent with the date of the change.  This will keep you from confusing old and new versions of the link model.  Clearly, once the project is under "formal" configuration control (e.g., after CDR) the formulas should not be changed.</t>
        </r>
        <r>
          <rPr>
            <sz val="8"/>
            <color indexed="81"/>
            <rFont val="Tahoma"/>
            <family val="2"/>
          </rPr>
          <t xml:space="preserve">
</t>
        </r>
      </text>
    </comment>
    <comment ref="K26" authorId="0" shapeId="0" xr:uid="{00000000-0006-0000-0000-000008000000}">
      <text>
        <r>
          <rPr>
            <sz val="10"/>
            <color rgb="FF000000"/>
            <rFont val="Tahoma"/>
            <family val="2"/>
          </rPr>
          <t xml:space="preserve">
</t>
        </r>
        <r>
          <rPr>
            <sz val="10"/>
            <color rgb="FF000000"/>
            <rFont val="Tahoma"/>
            <family val="2"/>
          </rPr>
          <t>After entering all data, including Approvals, proceed to the "</t>
        </r>
        <r>
          <rPr>
            <b/>
            <sz val="10"/>
            <color rgb="FF000000"/>
            <rFont val="Tahoma"/>
            <family val="2"/>
          </rPr>
          <t>Orbit</t>
        </r>
        <r>
          <rPr>
            <sz val="10"/>
            <color rgb="FF000000"/>
            <rFont val="Tahoma"/>
            <family val="2"/>
          </rPr>
          <t xml:space="preserve">" worksheet (W/S).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Jan King</author>
  </authors>
  <commentList>
    <comment ref="C4" authorId="0" shapeId="0" xr:uid="{00000000-0006-0000-0200-000001000000}">
      <text>
        <r>
          <rPr>
            <sz val="8"/>
            <color rgb="FF000000"/>
            <rFont val="Tahoma"/>
            <family val="2"/>
          </rPr>
          <t xml:space="preserve">
</t>
        </r>
        <r>
          <rPr>
            <sz val="9"/>
            <color rgb="FF000000"/>
            <rFont val="Tahoma"/>
            <family val="2"/>
          </rPr>
          <t>Two Antenna Selection options are available.  Option #1 allows the link model operator to select separate uplink and downlink antennas.  You must supply the antenna diameter in meters and the aperture efficiency in % {Tab 7, Cells [C16],[C17],[C72] and [C73]}.  Option #2 assumes that a common TX/RX antenna is used with a dual frequency feed assembly and a duplexer filter.  This option allows various common antenna diameters to be selected from a menu at Cell [D6] of this worksheet.  To select between Options #1 and #2, go to Tab 7-User Terminal Set-Up and change Cells [G19] and [G75] accordingly.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customer</author>
    <author>tc={A0DD6FDA-62AA-4EBB-828A-093FBA29FEF8}</author>
    <author>tc={445C4D64-D944-4E66-956F-2DEA7ACC7143}</author>
  </authors>
  <commentList>
    <comment ref="C1" authorId="0" shapeId="0" xr:uid="{481F142F-8090-471D-837E-27ADC9D8A8CA}">
      <text>
        <r>
          <rPr>
            <sz val="8"/>
            <color indexed="81"/>
            <rFont val="Tahoma"/>
            <family val="2"/>
          </rPr>
          <t xml:space="preserve">
This Orbit tool is intended for High Earth Orbit spacecraft using eliptical orbits.  A typical example is an initial or modified GTO (Geostationary Transfer Orbit).   The link model operator selects:
1) The Case Number (where the S/C is located in mean anomaly relative to PERIGEE).
2) The Elevation Angle at the user location being analyzed in this link model.  
3) The Spacecraft Poining Vector (α).  NOTE:  It is recommended that this be set to zero with the spacecraft always pointed toward the center of the Earth for most modeling purposes.  
The S/C worst case SQUINT angle is the angle from the spacecraft antenna pointing vector to the worst-case edge of the Earth (largest angle).  
In this new version of the model, once the case and elevation angle has been established, the model calculates the Off-Point angle between the S/C antenna boresight and the user location (the locus of points associated with the selected elevation angle.  This is a circle on the Earth of all sites having that same elevation angle.  For both uplink and downlink antenna patterns, the model then computes the antenna roll-off losses for the uplink and the downlink.  
</t>
        </r>
      </text>
    </comment>
    <comment ref="F27" authorId="1" shapeId="0" xr:uid="{A0DD6FDA-62AA-4EBB-828A-093FBA29FEF8}">
      <text>
        <r>
          <rPr>
            <sz val="10"/>
            <rFont val="Arial"/>
          </rPr>
          <t>[Threaded comment]
Your version of Excel allows you to read this threaded comment; however, any edits to it will get removed if the file is opened in a newer version of Excel. Learn more: https://go.microsoft.com/fwlink/?linkid=870924
Comment:
    This is the angle between the S/C and the center of the Earth relative to the line of absidies (center of the Earth to apogee line).</t>
        </r>
      </text>
    </comment>
    <comment ref="J30" authorId="0" shapeId="0" xr:uid="{4D92802E-CBE3-4DEF-BDEC-99267D97472C}">
      <text>
        <r>
          <rPr>
            <sz val="8"/>
            <color indexed="81"/>
            <rFont val="Tahoma"/>
            <family val="2"/>
          </rPr>
          <t xml:space="preserve">
This is the Earth's diameter (not counting the atmosphere) as seen from the spacecraft at it's current altitude (for the CASE selected).</t>
        </r>
      </text>
    </comment>
    <comment ref="J31" authorId="0" shapeId="0" xr:uid="{F1DA4ADF-C147-4E60-A0BA-5BBC023CE610}">
      <text>
        <r>
          <rPr>
            <sz val="8"/>
            <color indexed="81"/>
            <rFont val="Tahoma"/>
            <family val="2"/>
          </rPr>
          <t xml:space="preserve">
Note that we depict here only the in-orbit plane compoent.  There is, generally, an out-of-plane component as well.  The pointing vector shown is also referenced to the center of the Earth.  </t>
        </r>
      </text>
    </comment>
    <comment ref="J32" authorId="0" shapeId="0" xr:uid="{E1E7377C-5332-4F34-86FB-5110C76F3B99}">
      <text>
        <r>
          <rPr>
            <sz val="8"/>
            <color indexed="81"/>
            <rFont val="Tahoma"/>
            <family val="2"/>
          </rPr>
          <t xml:space="preserve">
This is the angle from the symetry axis of the spacecraft antenna to the furthest point away from the spacecraft but, still on the Earth's surface.  For this link budget we assume the user is at this worst-case location.
</t>
        </r>
      </text>
    </comment>
    <comment ref="J33" authorId="2" shapeId="0" xr:uid="{445C4D64-D944-4E66-956F-2DEA7ACC7143}">
      <text>
        <r>
          <rPr>
            <sz val="10"/>
            <rFont val="Arial"/>
          </rPr>
          <t>[Threaded comment]
Your version of Excel allows you to read this threaded comment; however, any edits to it will get removed if the file is opened in a newer version of Excel. Learn more: https://go.microsoft.com/fwlink/?linkid=870924
Comment:
    The Antenna Roll-Off Angle is used to determine the pointing loss to this user at the selected elevation angle for both uplink and downlink beams.</t>
        </r>
      </text>
    </comment>
    <comment ref="J34" authorId="0" shapeId="0" xr:uid="{399F9547-9E84-4B1B-84C8-C46F400659F4}">
      <text>
        <r>
          <rPr>
            <sz val="8"/>
            <color indexed="81"/>
            <rFont val="Tahoma"/>
            <family val="2"/>
          </rPr>
          <t xml:space="preserve">
This angl is 1/2 of the downlink beamwidth at -3dB. It is used with the beam roll-off table below in this Tab at Section C to estimate the beam roll-off loss at the user's location.</t>
        </r>
      </text>
    </comment>
    <comment ref="J35" authorId="0" shapeId="0" xr:uid="{65C69238-A56B-4C76-875A-BE660B614E8F}">
      <text>
        <r>
          <rPr>
            <sz val="8"/>
            <color indexed="81"/>
            <rFont val="Tahoma"/>
            <family val="2"/>
          </rPr>
          <t xml:space="preserve">
This angl is 1/2 of the uplinklink beamwidth at -3dB. It is used with the beam roll-off table below in this Tab at Section C to estimate the beam roll-off loss at the user's location.</t>
        </r>
      </text>
    </comment>
    <comment ref="J36" authorId="0" shapeId="0" xr:uid="{EF55B46D-5BE9-4E12-958B-86EC4EE8E4C2}">
      <text>
        <r>
          <rPr>
            <sz val="8"/>
            <color indexed="81"/>
            <rFont val="Tahoma"/>
            <family val="2"/>
          </rPr>
          <t xml:space="preserve">
This is the roll-off link loss of the downlink antenna to the user, given the elevation angle and orbit case selected. It is used in Tab 9 Downlink Link Budget.  </t>
        </r>
      </text>
    </comment>
    <comment ref="J37" authorId="0" shapeId="0" xr:uid="{CA1B388D-7ABD-47F3-93A1-F1B3C67C97AB}">
      <text>
        <r>
          <rPr>
            <sz val="8"/>
            <color indexed="81"/>
            <rFont val="Tahoma"/>
            <family val="2"/>
          </rPr>
          <t xml:space="preserve">
This is the roll-off link loss of the uplink antenna to the user, given the elevation angle and orbit case selected. It is used in Tab 8 Uplink Link Budget.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tc={D457792A-0D30-44C8-A52A-0E83D7C037A4}</author>
  </authors>
  <commentList>
    <comment ref="B29" authorId="0" shapeId="0" xr:uid="{D457792A-0D30-44C8-A52A-0E83D7C037A4}">
      <text>
        <r>
          <rPr>
            <sz val="10"/>
            <rFont val="Arial"/>
          </rPr>
          <t>[Threaded comment]
Your version of Excel allows you to read this threaded comment; however, any edits to it will get removed if the file is opened in a newer version of Excel. Learn more: https://go.microsoft.com/fwlink/?linkid=870924
Comment:
    This page gives a list of potential Earth Stations that will be used for your project or are potentially to be selected.  The Earth station data includes its location (LAT/LON/ALT) and the TX and RX critical performance data for all frequency bands used in the project.  The Earth Station to be evaluated for this link model is selected at Cell [B26].  This selection is confirmed in Row 26 in Cell [C6 thru G6].  This data is then distributed to Tab 3-Link Scenario Planner and Tabs  11A and 11B the Rain Model analysis.  By simply swapping Earth Stations from this list you can immediately observe the rain and atmospheric effects for two different locations, while keeping all other link parameters the same.  The perfromance data here is NOT transferred to other locations inthe workbook, so, as such they are not used.  Still this worksheet is a hand means to summarize the TX and RX characteristics of your ground network.</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G3" authorId="0" shapeId="0" xr:uid="{00000000-0006-0000-0400-000001000000}">
      <text>
        <r>
          <rPr>
            <b/>
            <sz val="8"/>
            <color indexed="81"/>
            <rFont val="Tahoma"/>
            <family val="2"/>
          </rPr>
          <t xml:space="preserve"> 
</t>
        </r>
        <r>
          <rPr>
            <b/>
            <sz val="10"/>
            <color indexed="81"/>
            <rFont val="Tahoma"/>
            <family val="2"/>
          </rPr>
          <t>Link Model Operator Must Select Receiver Uplink and Transmitter Dowlink Center Frequencies.</t>
        </r>
        <r>
          <rPr>
            <sz val="10"/>
            <color indexed="81"/>
            <rFont val="Tahoma"/>
            <family val="2"/>
          </rPr>
          <t xml:space="preserve">
</t>
        </r>
      </text>
    </comment>
    <comment ref="G20" authorId="0" shapeId="0" xr:uid="{00000000-0006-0000-0400-000002000000}">
      <text>
        <r>
          <rPr>
            <b/>
            <sz val="8"/>
            <color indexed="81"/>
            <rFont val="Tahoma"/>
            <family val="2"/>
          </rPr>
          <t xml:space="preserve">
</t>
        </r>
        <r>
          <rPr>
            <b/>
            <sz val="9"/>
            <color indexed="81"/>
            <rFont val="Tahoma"/>
            <family val="2"/>
          </rPr>
          <t xml:space="preserve"> </t>
        </r>
        <r>
          <rPr>
            <sz val="9"/>
            <color indexed="81"/>
            <rFont val="Tahoma"/>
            <family val="2"/>
          </rPr>
          <t>After selecting the uplink and downlink frequencies, proceed to W/S-6, the "</t>
        </r>
        <r>
          <rPr>
            <b/>
            <sz val="9"/>
            <color indexed="81"/>
            <rFont val="Tahoma"/>
            <family val="2"/>
          </rPr>
          <t>6-SC TX &amp; RX Set-Up</t>
        </r>
        <r>
          <rPr>
            <sz val="9"/>
            <color indexed="81"/>
            <rFont val="Tahoma"/>
            <family val="2"/>
          </rPr>
          <t>."</t>
        </r>
        <r>
          <rPr>
            <sz val="8"/>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C2" authorId="0" shapeId="0" xr:uid="{00000000-0006-0000-0500-000001000000}">
      <text>
        <r>
          <rPr>
            <b/>
            <sz val="8"/>
            <color indexed="81"/>
            <rFont val="Tahoma"/>
            <family val="2"/>
          </rPr>
          <t xml:space="preserve"> 
</t>
        </r>
        <r>
          <rPr>
            <sz val="9"/>
            <color indexed="81"/>
            <rFont val="Tahoma"/>
            <family val="2"/>
          </rPr>
          <t xml:space="preserve">After selecting the paremeters in "blue" text  and in "blue cells" in </t>
        </r>
        <r>
          <rPr>
            <b/>
            <sz val="9"/>
            <color indexed="81"/>
            <rFont val="Tahoma"/>
            <family val="2"/>
          </rPr>
          <t>Sections A, B and C,</t>
        </r>
        <r>
          <rPr>
            <sz val="9"/>
            <color indexed="81"/>
            <rFont val="Tahoma"/>
            <family val="2"/>
          </rPr>
          <t xml:space="preserve"> proceed to W/S "7-User Terminal Set-Up".</t>
        </r>
        <r>
          <rPr>
            <sz val="8"/>
            <color indexed="81"/>
            <rFont val="Tahoma"/>
            <family val="2"/>
          </rPr>
          <t xml:space="preserve">
</t>
        </r>
      </text>
    </comment>
    <comment ref="B5" authorId="0" shapeId="0" xr:uid="{00000000-0006-0000-0500-000002000000}">
      <text>
        <r>
          <rPr>
            <b/>
            <sz val="8"/>
            <color indexed="81"/>
            <rFont val="Tahoma"/>
            <family val="2"/>
          </rPr>
          <t xml:space="preserve"> 
</t>
        </r>
        <r>
          <rPr>
            <sz val="10"/>
            <color indexed="81"/>
            <rFont val="Tahoma"/>
            <family val="2"/>
          </rPr>
          <t>Receiver Uplink Center Frequency</t>
        </r>
        <r>
          <rPr>
            <sz val="8"/>
            <color indexed="81"/>
            <rFont val="Tahoma"/>
            <family val="2"/>
          </rPr>
          <t xml:space="preserve">
</t>
        </r>
      </text>
    </comment>
    <comment ref="B7" authorId="0" shapeId="0" xr:uid="{00000000-0006-0000-0500-000003000000}">
      <text>
        <r>
          <rPr>
            <b/>
            <sz val="8"/>
            <color indexed="81"/>
            <rFont val="Tahoma"/>
            <family val="2"/>
          </rPr>
          <t xml:space="preserve"> 
</t>
        </r>
        <r>
          <rPr>
            <sz val="10"/>
            <color indexed="81"/>
            <rFont val="Tahoma"/>
            <family val="2"/>
          </rPr>
          <t>Transmitter Downlink Center Frequency</t>
        </r>
        <r>
          <rPr>
            <sz val="8"/>
            <color indexed="81"/>
            <rFont val="Tahoma"/>
            <family val="2"/>
          </rPr>
          <t xml:space="preserve">
</t>
        </r>
      </text>
    </comment>
    <comment ref="B13" authorId="0" shapeId="0" xr:uid="{00000000-0006-0000-0500-000004000000}">
      <text>
        <r>
          <rPr>
            <b/>
            <sz val="10"/>
            <color indexed="81"/>
            <rFont val="Tahoma"/>
            <family val="2"/>
          </rPr>
          <t xml:space="preserve"> 
</t>
        </r>
        <r>
          <rPr>
            <sz val="10"/>
            <color indexed="81"/>
            <rFont val="Tahoma"/>
            <family val="2"/>
          </rPr>
          <t xml:space="preserve">This is the RF power to support N channels including  the power generated by intermodulation products.
</t>
        </r>
      </text>
    </comment>
    <comment ref="H13" authorId="0" shapeId="0" xr:uid="{00000000-0006-0000-0500-000005000000}">
      <text>
        <r>
          <rPr>
            <b/>
            <sz val="8"/>
            <color indexed="81"/>
            <rFont val="Tahoma"/>
            <family val="2"/>
          </rPr>
          <t xml:space="preserve"> 
</t>
        </r>
        <r>
          <rPr>
            <sz val="10"/>
            <color indexed="81"/>
            <rFont val="Tahoma"/>
            <family val="2"/>
          </rPr>
          <t>This parameter doesn't do anything.  It's intended to assist the Link Model Operator in documenting his/her system.</t>
        </r>
        <r>
          <rPr>
            <sz val="8"/>
            <color indexed="81"/>
            <rFont val="Tahoma"/>
            <family val="2"/>
          </rPr>
          <t xml:space="preserve">
</t>
        </r>
      </text>
    </comment>
    <comment ref="B15" authorId="0" shapeId="0" xr:uid="{00000000-0006-0000-0500-000006000000}">
      <text>
        <r>
          <rPr>
            <b/>
            <sz val="8"/>
            <color indexed="81"/>
            <rFont val="Tahoma"/>
            <family val="2"/>
          </rPr>
          <t xml:space="preserve"> </t>
        </r>
        <r>
          <rPr>
            <sz val="8"/>
            <color indexed="81"/>
            <rFont val="Tahoma"/>
            <family val="2"/>
          </rPr>
          <t xml:space="preserve">
</t>
        </r>
        <r>
          <rPr>
            <sz val="10"/>
            <color indexed="81"/>
            <rFont val="Tahoma"/>
            <family val="2"/>
          </rPr>
          <t>This is the reduction in input power used to improve the linearity of the amplifier.  An increase in IBO usually decreases the efficiency of the amplifier.</t>
        </r>
      </text>
    </comment>
    <comment ref="B19" authorId="0" shapeId="0" xr:uid="{00000000-0006-0000-0500-000007000000}">
      <text>
        <r>
          <rPr>
            <b/>
            <sz val="8"/>
            <color indexed="81"/>
            <rFont val="Tahoma"/>
            <family val="2"/>
          </rPr>
          <t xml:space="preserve"> 
</t>
        </r>
        <r>
          <rPr>
            <sz val="10"/>
            <color indexed="81"/>
            <rFont val="Tahoma"/>
            <family val="2"/>
          </rPr>
          <t>For a TLM Transmitter, Intermodulation doesn't really exist so long as only 1 modulated carrier is assumed, however, an equivalent process known as spectral regrowth occurs if the amplifier linearity is very poor.  In this case we let the IMR represent the deterioration of the first sidebands due to the HPA non-linearity (in dB).</t>
        </r>
        <r>
          <rPr>
            <sz val="8"/>
            <color indexed="81"/>
            <rFont val="Tahoma"/>
            <family val="2"/>
          </rPr>
          <t xml:space="preserve">
</t>
        </r>
      </text>
    </comment>
    <comment ref="H19" authorId="0" shapeId="0" xr:uid="{00000000-0006-0000-0500-000008000000}">
      <text>
        <r>
          <rPr>
            <b/>
            <sz val="8"/>
            <color indexed="81"/>
            <rFont val="Tahoma"/>
            <family val="2"/>
          </rPr>
          <t xml:space="preserve"> 
This Guardband Exists on Either Side of Each Channel</t>
        </r>
        <r>
          <rPr>
            <sz val="8"/>
            <color indexed="81"/>
            <rFont val="Tahoma"/>
            <family val="2"/>
          </rPr>
          <t xml:space="preserve">
</t>
        </r>
      </text>
    </comment>
    <comment ref="C31" authorId="0" shapeId="0" xr:uid="{00000000-0006-0000-0500-000009000000}">
      <text>
        <r>
          <rPr>
            <b/>
            <sz val="8"/>
            <color indexed="81"/>
            <rFont val="Tahoma"/>
            <family val="2"/>
          </rPr>
          <t xml:space="preserve"> 
</t>
        </r>
        <r>
          <rPr>
            <sz val="9"/>
            <color indexed="81"/>
            <rFont val="Tahoma"/>
            <family val="2"/>
          </rPr>
          <t xml:space="preserve">Enter all losses as positive values.  The losses will be subtracted appropriately in the link budgets.  </t>
        </r>
        <r>
          <rPr>
            <sz val="8"/>
            <color indexed="81"/>
            <rFont val="Tahoma"/>
            <family val="2"/>
          </rPr>
          <t xml:space="preserve">
</t>
        </r>
      </text>
    </comment>
    <comment ref="D107" authorId="0" shapeId="0" xr:uid="{00000000-0006-0000-0500-00000A000000}">
      <text>
        <r>
          <rPr>
            <b/>
            <sz val="8"/>
            <color indexed="81"/>
            <rFont val="Tahoma"/>
            <family val="2"/>
          </rPr>
          <t xml:space="preserve"> 
</t>
        </r>
        <r>
          <rPr>
            <sz val="9"/>
            <color indexed="81"/>
            <rFont val="Tahoma"/>
            <family val="2"/>
          </rPr>
          <t>After selecting the paremeters in "blue" text  in "blue cells", proceed to Worksheet 7-User Terminal Set-Up".</t>
        </r>
        <r>
          <rPr>
            <sz val="8"/>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xml:space="preserve"> </author>
    <author>customer</author>
    <author>Jan King</author>
  </authors>
  <commentList>
    <comment ref="G4" authorId="0" shapeId="0" xr:uid="{00000000-0006-0000-0600-000001000000}">
      <text>
        <r>
          <rPr>
            <b/>
            <sz val="8"/>
            <color indexed="81"/>
            <rFont val="Tahoma"/>
            <family val="2"/>
          </rPr>
          <t xml:space="preserve"> 
The Link Model Operator must supply the information in blue text (in the highlighted blue cells).   The data provided in the yellow cells are the sytem level results for the station you have specified.
Once this information is completed, proceed to WS-8, the "Uplink Budget."</t>
        </r>
        <r>
          <rPr>
            <sz val="8"/>
            <color indexed="81"/>
            <rFont val="Tahoma"/>
            <family val="2"/>
          </rPr>
          <t xml:space="preserve">
</t>
        </r>
      </text>
    </comment>
    <comment ref="B15" authorId="1" shapeId="0" xr:uid="{00000000-0006-0000-0600-000002000000}">
      <text>
        <r>
          <rPr>
            <sz val="8"/>
            <color indexed="81"/>
            <rFont val="Tahoma"/>
            <family val="2"/>
          </rPr>
          <t xml:space="preserve">
NOTE:  In this case, the frequency should be expressed in GHz.
</t>
        </r>
      </text>
    </comment>
    <comment ref="B16" authorId="1" shapeId="0" xr:uid="{00000000-0006-0000-0600-000003000000}">
      <text>
        <r>
          <rPr>
            <sz val="9"/>
            <color indexed="81"/>
            <rFont val="Tahoma"/>
            <family val="2"/>
          </rPr>
          <t xml:space="preserve">
The physical diameter of a dish antenna or, alternatively, the diameter of an alternative antenna's effective aperture.</t>
        </r>
        <r>
          <rPr>
            <sz val="8"/>
            <color indexed="81"/>
            <rFont val="Tahoma"/>
            <family val="2"/>
          </rPr>
          <t xml:space="preserve">
</t>
        </r>
      </text>
    </comment>
    <comment ref="B17" authorId="1" shapeId="0" xr:uid="{00000000-0006-0000-0600-000004000000}">
      <text>
        <r>
          <rPr>
            <sz val="9"/>
            <color indexed="81"/>
            <rFont val="Tahoma"/>
            <family val="2"/>
          </rPr>
          <t xml:space="preserve">
The illumination efficiency of the dish.  If you are uncertain about this value use approximately 55%.</t>
        </r>
        <r>
          <rPr>
            <sz val="8"/>
            <color indexed="81"/>
            <rFont val="Tahoma"/>
            <family val="2"/>
          </rPr>
          <t xml:space="preserve">
</t>
        </r>
      </text>
    </comment>
    <comment ref="L66" authorId="2" shapeId="0" xr:uid="{00000000-0006-0000-0600-000005000000}">
      <text>
        <r>
          <rPr>
            <sz val="8"/>
            <color indexed="81"/>
            <rFont val="Tahoma"/>
            <family val="2"/>
          </rPr>
          <t xml:space="preserve">
</t>
        </r>
        <r>
          <rPr>
            <sz val="9"/>
            <color indexed="81"/>
            <rFont val="Tahoma"/>
            <family val="2"/>
          </rPr>
          <t>There are two means available to set the antenna performance.  The first is to select the gain at Cell [C4] in the "3-Link Scenario Planner" W/S.  If you are using this approach, set Cell [G75] in this W/S to "No".  Alternatively you can enter the antenna performance  (dish diameter and aperture efficiency at Cells [C72] and [C73] of this W/S.  If you are using this alternative approach, the entry value in the Link Scenario Planner will be disabled.  For this option put Yes at Cell [G19] and Cell [G75] of this W/S.</t>
        </r>
      </text>
    </comment>
    <comment ref="B71" authorId="1" shapeId="0" xr:uid="{00000000-0006-0000-0600-000006000000}">
      <text>
        <r>
          <rPr>
            <sz val="8"/>
            <color indexed="81"/>
            <rFont val="Tahoma"/>
            <family val="2"/>
          </rPr>
          <t xml:space="preserve">
NOTE:  In this case, the frequency should be expressed in GHz.
</t>
        </r>
      </text>
    </comment>
    <comment ref="B72" authorId="1" shapeId="0" xr:uid="{00000000-0006-0000-0600-000007000000}">
      <text>
        <r>
          <rPr>
            <sz val="9"/>
            <color indexed="81"/>
            <rFont val="Tahoma"/>
            <family val="2"/>
          </rPr>
          <t xml:space="preserve">
The physical diameter of a dish antenna or, alternatively, the diameter of an alternative antenna's effective aperture.</t>
        </r>
        <r>
          <rPr>
            <sz val="8"/>
            <color indexed="81"/>
            <rFont val="Tahoma"/>
            <family val="2"/>
          </rPr>
          <t xml:space="preserve">
</t>
        </r>
      </text>
    </comment>
    <comment ref="B73" authorId="1" shapeId="0" xr:uid="{00000000-0006-0000-0600-000008000000}">
      <text>
        <r>
          <rPr>
            <sz val="9"/>
            <color indexed="81"/>
            <rFont val="Tahoma"/>
            <family val="2"/>
          </rPr>
          <t xml:space="preserve">
The illumination efficiency of the dish.  If you are uncertain about this value use approximately 55%.</t>
        </r>
        <r>
          <rPr>
            <sz val="8"/>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C2" authorId="0" shapeId="0" xr:uid="{00000000-0006-0000-0700-000001000000}">
      <text>
        <r>
          <rPr>
            <b/>
            <sz val="8"/>
            <color indexed="81"/>
            <rFont val="Tahoma"/>
            <family val="2"/>
          </rPr>
          <t xml:space="preserve"> </t>
        </r>
        <r>
          <rPr>
            <b/>
            <sz val="9"/>
            <color indexed="81"/>
            <rFont val="Tahoma"/>
            <family val="2"/>
          </rPr>
          <t xml:space="preserve">
</t>
        </r>
        <r>
          <rPr>
            <sz val="9"/>
            <color indexed="81"/>
            <rFont val="Tahoma"/>
            <family val="2"/>
          </rPr>
          <t>The Link Model Operator should provide the values in "blue" text (inside the blue cells) associated with the uplink path characteristics.  The parameters highlighted in blue cells are critical to the system performance.  After these parameters have been selected, proceed to W/S-9, the "</t>
        </r>
        <r>
          <rPr>
            <b/>
            <sz val="9"/>
            <color indexed="81"/>
            <rFont val="Tahoma"/>
            <family val="2"/>
          </rPr>
          <t>Downlink Budget</t>
        </r>
        <r>
          <rPr>
            <sz val="9"/>
            <color indexed="81"/>
            <rFont val="Tahoma"/>
            <family val="2"/>
          </rPr>
          <t>."</t>
        </r>
        <r>
          <rPr>
            <sz val="8"/>
            <color indexed="81"/>
            <rFont val="Tahoma"/>
            <family val="2"/>
          </rPr>
          <t xml:space="preserve">
</t>
        </r>
      </text>
    </comment>
    <comment ref="B42" authorId="0" shapeId="0" xr:uid="{00000000-0006-0000-0700-000002000000}">
      <text>
        <r>
          <rPr>
            <sz val="8"/>
            <color indexed="81"/>
            <rFont val="Tahoma"/>
            <family val="2"/>
          </rPr>
          <t xml:space="preserve">
</t>
        </r>
        <r>
          <rPr>
            <sz val="9"/>
            <color indexed="81"/>
            <rFont val="Tahoma"/>
            <family val="2"/>
          </rPr>
          <t xml:space="preserve">This is the interference from either an adjacent uplinking system or adjacent channel noise within the system.  </t>
        </r>
        <r>
          <rPr>
            <sz val="10"/>
            <color indexed="81"/>
            <rFont val="Tahoma"/>
            <family val="2"/>
          </rPr>
          <t>You may not know this value or you may not know how to determine it.  If this term can be ignored you may set the value at say, -300 dBm/Hz.  In this way it will have no effect on the overall result.
This is the noise seen by the satellite from other sources outside the satellite network or other noise generated by the network.  It is NOT the receiver's white noise.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C2" authorId="0" shapeId="0" xr:uid="{00000000-0006-0000-0800-000001000000}">
      <text>
        <r>
          <rPr>
            <b/>
            <sz val="8"/>
            <color indexed="81"/>
            <rFont val="Tahoma"/>
            <family val="2"/>
          </rPr>
          <t xml:space="preserve"> 
</t>
        </r>
        <r>
          <rPr>
            <sz val="9"/>
            <color indexed="81"/>
            <rFont val="Tahoma"/>
            <family val="2"/>
          </rPr>
          <t>The Link Model Operator should provide the values in "blue" text (inside the blue cells) associated with the downlink path characteristics.  After these parameters have been selected, proceed to W/S-12, the "</t>
        </r>
        <r>
          <rPr>
            <b/>
            <sz val="9"/>
            <color indexed="81"/>
            <rFont val="Tahoma"/>
            <family val="2"/>
          </rPr>
          <t>RX-TX Link Results</t>
        </r>
        <r>
          <rPr>
            <sz val="9"/>
            <color indexed="81"/>
            <rFont val="Tahoma"/>
            <family val="2"/>
          </rPr>
          <t>."</t>
        </r>
        <r>
          <rPr>
            <sz val="8"/>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1" authorId="0" shapeId="0" xr:uid="{00000000-0006-0000-0C00-000001000000}">
      <text>
        <r>
          <rPr>
            <b/>
            <sz val="8"/>
            <color indexed="81"/>
            <rFont val="Tahoma"/>
            <family val="2"/>
          </rPr>
          <t xml:space="preserve"> 
</t>
        </r>
        <r>
          <rPr>
            <sz val="9"/>
            <color indexed="81"/>
            <rFont val="Tahoma"/>
            <family val="2"/>
          </rPr>
          <t>This worksheet displays the results of the link model consturcted by the Link Model Operator.  The uplink and downlink S/N are separate calculations.  The Data uplink C/N performance of the system and the HSD downlink performance of the system are independently calculated.  This is then converted to Es/No and/or C/No for the Data uplink in order to determine the achieved DVB-S2 MODCOD step.  The data uplink is assumed to use the ETSI standard DVB-S2 standard.  It may use ACM, VCM or CCM modes  The HSD link is assumed to use an adaptive modulation/coding version or combined DVB-S2 DVB-S2X.  This is often referred to in short-hand as DVB-S2(X).  The optimum performance is computed by this system, given the Link Model Operator selection of transmitter occupied bandwidth.  
This worksheet also summarizes the uplink and downlink user terminal characteristics as well as the spacecraft critical RF parameters.</t>
        </r>
      </text>
    </comment>
    <comment ref="G40" authorId="0" shapeId="0" xr:uid="{00000000-0006-0000-0C00-000002000000}">
      <text>
        <r>
          <rPr>
            <b/>
            <sz val="8"/>
            <color indexed="81"/>
            <rFont val="Tahoma"/>
            <family val="2"/>
          </rPr>
          <t xml:space="preserve"> 
This W/S contains the results/specifications of the Data Receiver and HSD Transmitter configured by the Link Model Operator in the prior four worksheets.  No data entries are required in this W/S.</t>
        </r>
        <r>
          <rPr>
            <sz val="8"/>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2" authorId="0" shapeId="0" xr:uid="{00000000-0006-0000-0D00-000001000000}">
      <text>
        <r>
          <rPr>
            <b/>
            <sz val="8"/>
            <color indexed="81"/>
            <rFont val="Tahoma"/>
            <family val="2"/>
          </rPr>
          <t xml:space="preserve"> </t>
        </r>
        <r>
          <rPr>
            <sz val="8"/>
            <color indexed="81"/>
            <rFont val="Tahoma"/>
            <family val="2"/>
          </rPr>
          <t xml:space="preserve">
</t>
        </r>
        <r>
          <rPr>
            <sz val="9"/>
            <color indexed="81"/>
            <rFont val="Tahoma"/>
            <family val="2"/>
          </rPr>
          <t>This is another form of the system link results.  In this worksheet the key elements of the system are displayed in a System Block Diagram.  This diagram may act as a limited form of system specification or as a statement of the System Top Level RF Requirements.
The Link Model Operator should not make changes to this worksheet as it is fully linked to prior worksheets in the workbook.</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<sst xmlns="http://schemas.openxmlformats.org/spreadsheetml/2006/main" count="2020" uniqueCount="803">
  <si>
    <t>Orbit Type:</t>
  </si>
  <si>
    <t>Model/Case No./Rev No.:</t>
  </si>
  <si>
    <t>Date Data Last Modified:</t>
  </si>
  <si>
    <t xml:space="preserve"> </t>
  </si>
  <si>
    <t>Parameter:</t>
  </si>
  <si>
    <t>Value:</t>
  </si>
  <si>
    <t>Unit:</t>
  </si>
  <si>
    <t>Earth Radius:</t>
  </si>
  <si>
    <t>km</t>
  </si>
  <si>
    <t>Semi-Major Axis (a):</t>
  </si>
  <si>
    <t xml:space="preserve">Eccentricity (e): </t>
  </si>
  <si>
    <t>degrees</t>
  </si>
  <si>
    <t>Mean Anomaly (M):</t>
  </si>
  <si>
    <t>Period:</t>
  </si>
  <si>
    <t>minutes</t>
  </si>
  <si>
    <t>deg./day</t>
  </si>
  <si>
    <t>X</t>
  </si>
  <si>
    <t>Y</t>
  </si>
  <si>
    <t>R</t>
  </si>
  <si>
    <t>X1</t>
  </si>
  <si>
    <t>Y1</t>
  </si>
  <si>
    <t>R1</t>
  </si>
  <si>
    <t>Blue</t>
  </si>
  <si>
    <t>= User Data Entry Values</t>
  </si>
  <si>
    <t>Red</t>
  </si>
  <si>
    <t>= Key Results</t>
  </si>
  <si>
    <t>Black</t>
  </si>
  <si>
    <t>Frequency:</t>
  </si>
  <si>
    <t>MHz</t>
  </si>
  <si>
    <t>meters</t>
  </si>
  <si>
    <t>Path Loss:</t>
  </si>
  <si>
    <t>dB</t>
  </si>
  <si>
    <t>Units:</t>
  </si>
  <si>
    <t>Comments:</t>
  </si>
  <si>
    <t>Spacecraft:</t>
  </si>
  <si>
    <t>Connector, Filter or In-Line Switch Losses:</t>
  </si>
  <si>
    <t>Downlink Path:</t>
  </si>
  <si>
    <t>Antenna Polarization Losses:</t>
  </si>
  <si>
    <t>Ground Station:</t>
  </si>
  <si>
    <t>Ground Station Antenna Gain:</t>
  </si>
  <si>
    <t>Ground Station Transmission Line Losses:</t>
  </si>
  <si>
    <t>Ground Station LNA Noise Temperature:</t>
  </si>
  <si>
    <t>Ground Station Sky Temperature:</t>
  </si>
  <si>
    <t>Ground Station Effective Noise Temperature:</t>
  </si>
  <si>
    <t>G.S. Transmission Line Coefficient:</t>
  </si>
  <si>
    <t>Ground Station Figure of Merrit (G/T):</t>
  </si>
  <si>
    <t>watts</t>
  </si>
  <si>
    <t>dBW</t>
  </si>
  <si>
    <t>dBm</t>
  </si>
  <si>
    <t>dBiC</t>
  </si>
  <si>
    <t>K</t>
  </si>
  <si>
    <t>Ground Station Transmission Line Temp.:</t>
  </si>
  <si>
    <t>dB/K</t>
  </si>
  <si>
    <t>In dBW:</t>
  </si>
  <si>
    <t>In dBm:</t>
  </si>
  <si>
    <t>Boltzman's Constant:</t>
  </si>
  <si>
    <t>dBW/K/Hz</t>
  </si>
  <si>
    <t>dBHz</t>
  </si>
  <si>
    <t>Ground Station Antenna Pointing Loss:</t>
  </si>
  <si>
    <t>Uplink Path:</t>
  </si>
  <si>
    <t>Ground Station Effective Isotropic Radiated Power (EIRP) [EIRP=Pt x Ltl x Ga]</t>
  </si>
  <si>
    <t>Ground Station EIRP:</t>
  </si>
  <si>
    <t>Antenna Polarization Loss:</t>
  </si>
  <si>
    <t>Spacecraft Transmission Line Losses:</t>
  </si>
  <si>
    <t>Spacecraft LNA Noise Temperature:</t>
  </si>
  <si>
    <t>Spacecraft Transmission Line Temp.:</t>
  </si>
  <si>
    <t>Spacecraft Sky Temperature:</t>
  </si>
  <si>
    <t>S/C Transmission Line Coefficient:</t>
  </si>
  <si>
    <t>Spacecraft Effective Noise Temperature:</t>
  </si>
  <si>
    <t>Spacecraft Figure of Merrit (G/T):</t>
  </si>
  <si>
    <t xml:space="preserve"> Blue</t>
  </si>
  <si>
    <t>=Critical User Data Entry Values</t>
  </si>
  <si>
    <t>Com. System Engineer:</t>
  </si>
  <si>
    <t>Project Manager:</t>
  </si>
  <si>
    <t>Investigation:</t>
  </si>
  <si>
    <t xml:space="preserve">Model Under </t>
  </si>
  <si>
    <t>Last Modified:</t>
  </si>
  <si>
    <t>Project:</t>
  </si>
  <si>
    <r>
      <t>= Computed Values (</t>
    </r>
    <r>
      <rPr>
        <b/>
        <sz val="10"/>
        <rFont val="Arial"/>
        <family val="2"/>
      </rPr>
      <t>No</t>
    </r>
    <r>
      <rPr>
        <sz val="10"/>
        <rFont val="Arial"/>
        <family val="2"/>
      </rPr>
      <t xml:space="preserve"> </t>
    </r>
    <r>
      <rPr>
        <b/>
        <sz val="10"/>
        <rFont val="Arial"/>
        <family val="2"/>
      </rPr>
      <t>Data Entry</t>
    </r>
    <r>
      <rPr>
        <sz val="10"/>
        <rFont val="Arial"/>
        <family val="2"/>
      </rPr>
      <t>)</t>
    </r>
  </si>
  <si>
    <t xml:space="preserve">Date W/S Formulas </t>
  </si>
  <si>
    <t xml:space="preserve">                    Approvals:</t>
  </si>
  <si>
    <t>NOTE #1:</t>
  </si>
  <si>
    <t>NOTE #7:</t>
  </si>
  <si>
    <t>Jan A. King</t>
  </si>
  <si>
    <t>Com. Eng.</t>
  </si>
  <si>
    <t>NOTE #2:</t>
  </si>
  <si>
    <t>Enter Name of Project Manager:</t>
  </si>
  <si>
    <t>P.M.</t>
  </si>
  <si>
    <t>NOTE #3:</t>
  </si>
  <si>
    <t>NOTE #4:</t>
  </si>
  <si>
    <t>NOTE #5:</t>
  </si>
  <si>
    <t>LINK MODEL</t>
  </si>
  <si>
    <t>NOTE #6</t>
  </si>
  <si>
    <t>STATUS</t>
  </si>
  <si>
    <t>NOTE #8:</t>
  </si>
  <si>
    <t>Organization:</t>
  </si>
  <si>
    <t>User Uplink Transmitter Power Output:</t>
  </si>
  <si>
    <t>Spacecraft Rcvr Antenna Pointing Loss:</t>
  </si>
  <si>
    <t>Spacecraft Rcvr Antenna Gain:</t>
  </si>
  <si>
    <t>kHz</t>
  </si>
  <si>
    <t>dBW/Hz</t>
  </si>
  <si>
    <t>Measured at Spacecraft Receiver Input</t>
  </si>
  <si>
    <t xml:space="preserve">dB </t>
  </si>
  <si>
    <t>This is the uplink performance measured in the ENTIRE transponder bandwidth (NOTE: This could be a negative number)</t>
  </si>
  <si>
    <t>Single User Signal Bandwidth:</t>
  </si>
  <si>
    <t>Spacecraft Effective Isotropic Radiated Power (EIRP) [EIRP=Pt x Ltl x Ga] per User</t>
  </si>
  <si>
    <t>The ratio of the power in one user signal divided by the average intermodulation power level in one User channel</t>
  </si>
  <si>
    <t>Watts</t>
  </si>
  <si>
    <t>Center Frequency:</t>
  </si>
  <si>
    <t>to</t>
  </si>
  <si>
    <t>User Modulation Type:</t>
  </si>
  <si>
    <t>Channels</t>
  </si>
  <si>
    <t>k=</t>
  </si>
  <si>
    <r>
      <t>P</t>
    </r>
    <r>
      <rPr>
        <sz val="8"/>
        <rFont val="Arial"/>
        <family val="2"/>
      </rPr>
      <t>n</t>
    </r>
    <r>
      <rPr>
        <sz val="10"/>
        <rFont val="Arial"/>
        <family val="2"/>
      </rPr>
      <t xml:space="preserve"> = kTB;  Additive White Gaussian Noise (AWGN); The satellite receiver's White Noise.</t>
    </r>
  </si>
  <si>
    <t>Spacecraft EIRP per User:</t>
  </si>
  <si>
    <t>Spacecraft Total HPA Power Allocated per User Channel:</t>
  </si>
  <si>
    <r>
      <t>Wavelength (</t>
    </r>
    <r>
      <rPr>
        <b/>
        <u/>
        <sz val="12"/>
        <rFont val="Symbol"/>
        <family val="1"/>
        <charset val="2"/>
      </rPr>
      <t>l</t>
    </r>
    <r>
      <rPr>
        <u/>
        <sz val="12"/>
        <rFont val="Arial"/>
        <family val="2"/>
      </rPr>
      <t>):</t>
    </r>
  </si>
  <si>
    <r>
      <t>Path Loss = 22.0 + 20 log (S/</t>
    </r>
    <r>
      <rPr>
        <b/>
        <sz val="12"/>
        <rFont val="Symbol"/>
        <family val="1"/>
        <charset val="2"/>
      </rPr>
      <t>l)</t>
    </r>
  </si>
  <si>
    <t>This is the sum of the three power components from above.</t>
  </si>
  <si>
    <t xml:space="preserve">  </t>
  </si>
  <si>
    <t>The Intermodulation Power Density</t>
  </si>
  <si>
    <t>Downlink Frequency:</t>
  </si>
  <si>
    <t>Uplink Frequency:</t>
  </si>
  <si>
    <t>S/C Uplink Antenna Gain:</t>
  </si>
  <si>
    <t>S/C Uplink G/T:</t>
  </si>
  <si>
    <t>S/C Downlink Total Xmtr Power:</t>
  </si>
  <si>
    <t>S/C Downlink RF Power/User Ch.:</t>
  </si>
  <si>
    <t>S/C Downlink Antenna Gain:</t>
  </si>
  <si>
    <t>User Ch.</t>
  </si>
  <si>
    <t>Spectrum Used:</t>
  </si>
  <si>
    <t>Downlink:  User Rcvr G/T:</t>
  </si>
  <si>
    <t>Downlink:  User Antenna Gain:</t>
  </si>
  <si>
    <t>Downlink:  User LNA Temperature:</t>
  </si>
  <si>
    <t>&lt;---------------------------------------- Link Results: -------------------------------------&gt;</t>
  </si>
  <si>
    <t>&lt; -------------------------------Spacecraft Resources: ---------------------------------&gt;</t>
  </si>
  <si>
    <t>Effective Guardband/Channel:</t>
  </si>
  <si>
    <t>Uplink:  User Transmitter Power:</t>
  </si>
  <si>
    <t>Uplink:  User Antenna Gain:</t>
  </si>
  <si>
    <t>S/C Downlink EIRP/User Ch.:</t>
  </si>
  <si>
    <t>S/C Downlink EIRP (Transponder):</t>
  </si>
  <si>
    <t>NOTE:</t>
  </si>
  <si>
    <t>- Per Channel</t>
  </si>
  <si>
    <t>OR</t>
  </si>
  <si>
    <t xml:space="preserve">Yagi, Helix, Spiral, Other </t>
  </si>
  <si>
    <t>Parabolic Reflector, Horn, Other</t>
  </si>
  <si>
    <t>Uplink Antenna Gain:</t>
  </si>
  <si>
    <t>Pointing Loss</t>
  </si>
  <si>
    <t>Cable Losses:</t>
  </si>
  <si>
    <t>Antenna Pointing Loss:</t>
  </si>
  <si>
    <t>Antenna Gain</t>
  </si>
  <si>
    <t>Filter/Switch Loss:</t>
  </si>
  <si>
    <t>Transmitter Power Output:</t>
  </si>
  <si>
    <t>Filter, Switch &amp; Connector Losses</t>
  </si>
  <si>
    <t>To Receiver</t>
  </si>
  <si>
    <t>Input (Voice, Data, Video, Other)</t>
  </si>
  <si>
    <t>LNA Noise Temperature</t>
  </si>
  <si>
    <t>Transmission Line Losses</t>
  </si>
  <si>
    <t>Filter or Switch Loss</t>
  </si>
  <si>
    <t>Sky Temperature</t>
  </si>
  <si>
    <t>G.S Effective Noise Temperature:</t>
  </si>
  <si>
    <t>Downlink Antenna Gain:</t>
  </si>
  <si>
    <t>Parabolic Reflector, Horn, Phased Array, Other</t>
  </si>
  <si>
    <t>Spacecraft Input Filter Insertion Loss:</t>
  </si>
  <si>
    <t>S/C Connector, Filter and In-Line Switch Losses:</t>
  </si>
  <si>
    <t>S/C Connector, Filter, Switch Losses:</t>
  </si>
  <si>
    <t>Spacecraft Transmit Antenna Pointing Loss:</t>
  </si>
  <si>
    <t>Spacecraft Transmit Antenna Gain:</t>
  </si>
  <si>
    <t>S/C Transmit EIRP:</t>
  </si>
  <si>
    <t>S/C Rcvr G/T:</t>
  </si>
  <si>
    <t>=</t>
  </si>
  <si>
    <t>Gnd. Stn. Figure of Merit (G/T):</t>
  </si>
  <si>
    <t>Slant Range (S):</t>
  </si>
  <si>
    <t xml:space="preserve">km </t>
  </si>
  <si>
    <t>°</t>
  </si>
  <si>
    <t>(@ Uplink Earth Station)</t>
  </si>
  <si>
    <t>(@ Downlink Earth Station)</t>
  </si>
  <si>
    <t>Uplink Center Frequency:</t>
  </si>
  <si>
    <t>Downlink Center Frequency:</t>
  </si>
  <si>
    <t>(dB)</t>
  </si>
  <si>
    <t>Mbps</t>
  </si>
  <si>
    <t>Adaptive Modulation and FEC Coding to Match Link Conditions</t>
  </si>
  <si>
    <t xml:space="preserve">  Under Current Link Conditions</t>
  </si>
  <si>
    <t>Users OR Channels Supported:</t>
  </si>
  <si>
    <t>=Loss(dB)</t>
  </si>
  <si>
    <t>I/F Filter B.W.=</t>
  </si>
  <si>
    <t>=Loss (dB)</t>
  </si>
  <si>
    <t>=Supported Users  @</t>
  </si>
  <si>
    <t>Spacecraft Current Altitude:</t>
  </si>
  <si>
    <t>= Gain (dBi)</t>
  </si>
  <si>
    <t>=Gain(dBi)</t>
  </si>
  <si>
    <t>HPA Power =</t>
  </si>
  <si>
    <t>K=System Noise Temp.</t>
  </si>
  <si>
    <t>=Gain (dBi)</t>
  </si>
  <si>
    <t>= EIRP (dBW)</t>
  </si>
  <si>
    <t>dB/K=G/T</t>
  </si>
  <si>
    <t>= Signal EIRP (dBW)</t>
  </si>
  <si>
    <t>dB-Hz</t>
  </si>
  <si>
    <t>S/(N+I) =</t>
  </si>
  <si>
    <t>Downlink User Slant Range:</t>
  </si>
  <si>
    <t>Uplink User Slant Range:</t>
  </si>
  <si>
    <t xml:space="preserve"> LINK BUDGET</t>
  </si>
  <si>
    <t>RF Power Output =</t>
  </si>
  <si>
    <t>DC Power Input =</t>
  </si>
  <si>
    <t>Therm. Dissipation =</t>
  </si>
  <si>
    <t>Mbps each</t>
  </si>
  <si>
    <t xml:space="preserve">In Chan B.W. = </t>
  </si>
  <si>
    <t>UPLINK</t>
  </si>
  <si>
    <t>DOWNLINK</t>
  </si>
  <si>
    <t>Noise Bandwidth (See Cell D9)</t>
  </si>
  <si>
    <t>dBc</t>
  </si>
  <si>
    <t>&lt;--------------------------------- User Downlink:-----------------------------------&gt;</t>
  </si>
  <si>
    <t>&lt;---------------------------------------Spacecraft:--------------------------------------&gt;</t>
  </si>
  <si>
    <t>Version</t>
  </si>
  <si>
    <t>Date</t>
  </si>
  <si>
    <t>Author</t>
  </si>
  <si>
    <t>Change</t>
  </si>
  <si>
    <t>V0.11A</t>
  </si>
  <si>
    <t>Updated pre-proposal link budget based on EM Solutions advice given in 31 July 2010 meeting.</t>
  </si>
  <si>
    <t>Amendment Log</t>
  </si>
  <si>
    <t>V0.11B</t>
  </si>
  <si>
    <t>Modified Rx terminal noise temp to 120 K per EM Sol.</t>
  </si>
  <si>
    <t>V0.11C</t>
  </si>
  <si>
    <t>Ground Station Filter and/or Switch Losses:</t>
  </si>
  <si>
    <t>&lt;---------------------------------------User Uplink:-------------------------------------&gt;</t>
  </si>
  <si>
    <t>Found error in original worksheet. User downlink "Filter or Switch Loss" not transferred to 7-Downlink Budget.  Line added 28 added to Downlink Budget. Amended Cells [B32] and [B34].</t>
  </si>
  <si>
    <t>V0.11D</t>
  </si>
  <si>
    <t>Found error in original worksheet. 7-Downlink Budget Cells [B6],[B9] and [B10] were modified. Terms involving 6-Uplink Budget, Cell [B43] was changed to Cell [B40].  This corrects noise power calculation and terms driven by it.</t>
  </si>
  <si>
    <t>V0.11E</t>
  </si>
  <si>
    <t>Adjusted U/L and D/L Atmospheric Losses; Adjusted 30 GHz Sat Antenna Gain to Reflect Pillbox Antenna</t>
  </si>
  <si>
    <t>Adjusted Power Output of Transponder; Adjusted 30 GHz Sat Antenna Gain back to a Horn Antenna; Corrected 4-Xpder Set-Up, Cell [J21].</t>
  </si>
  <si>
    <t>Specify Nyquist rolloff</t>
  </si>
  <si>
    <t>MODulation</t>
  </si>
  <si>
    <t>CODing Rate</t>
  </si>
  <si>
    <t>Es/No</t>
  </si>
  <si>
    <t xml:space="preserve"> Sym rate</t>
  </si>
  <si>
    <t>BW (nyq)</t>
  </si>
  <si>
    <t>C/No</t>
  </si>
  <si>
    <t>C/N</t>
  </si>
  <si>
    <t>Data Rate</t>
  </si>
  <si>
    <t>Ebi/No</t>
  </si>
  <si>
    <t>Eb/No</t>
  </si>
  <si>
    <t>Gross Bit Rate</t>
  </si>
  <si>
    <t>Info bits</t>
  </si>
  <si>
    <t>code bits</t>
  </si>
  <si>
    <t>"overhead"</t>
  </si>
  <si>
    <t>Msym/sec</t>
  </si>
  <si>
    <t>info bit/symbol</t>
  </si>
  <si>
    <t>Mbit/sec</t>
  </si>
  <si>
    <t>Mbit/Sec</t>
  </si>
  <si>
    <t>QPSK</t>
  </si>
  <si>
    <t>8PSK</t>
  </si>
  <si>
    <t>16APSK</t>
  </si>
  <si>
    <t>32APSK</t>
  </si>
  <si>
    <t>PROPAGATION LOSSES COMPUTATION</t>
  </si>
  <si>
    <t>STATION</t>
  </si>
  <si>
    <t xml:space="preserve">Latitude </t>
  </si>
  <si>
    <t>(degrés)</t>
  </si>
  <si>
    <t>Longitude</t>
  </si>
  <si>
    <t>Height</t>
  </si>
  <si>
    <t>(km)</t>
  </si>
  <si>
    <t>Elevation</t>
  </si>
  <si>
    <t>ANTENNA</t>
  </si>
  <si>
    <t>(m)</t>
  </si>
  <si>
    <t>Efficiency</t>
  </si>
  <si>
    <t>(%)</t>
  </si>
  <si>
    <t>DOWN LINK</t>
  </si>
  <si>
    <t>Frequency</t>
  </si>
  <si>
    <t>(GHz)</t>
  </si>
  <si>
    <t>Polarisation</t>
  </si>
  <si>
    <t>(°)</t>
  </si>
  <si>
    <t>Unavailability</t>
  </si>
  <si>
    <t>CLIMATIC PARAMETERS</t>
  </si>
  <si>
    <t>R001</t>
  </si>
  <si>
    <t>(mm/h)</t>
  </si>
  <si>
    <t>Nwet</t>
  </si>
  <si>
    <t>(N/A)</t>
  </si>
  <si>
    <t>Rain height</t>
  </si>
  <si>
    <t>Total Columnar Content Liquid Water</t>
  </si>
  <si>
    <t>(kg/m2)</t>
  </si>
  <si>
    <t>Surface Water vapour Density</t>
  </si>
  <si>
    <t>(g/m3)</t>
  </si>
  <si>
    <t>Integrated Water Vapour Content</t>
  </si>
  <si>
    <t>Température</t>
  </si>
  <si>
    <t>(°K)</t>
  </si>
  <si>
    <t>ATTENUATION</t>
  </si>
  <si>
    <t>Rain Attenuation</t>
  </si>
  <si>
    <t>Clouds Attenuation</t>
  </si>
  <si>
    <t>Scintillation</t>
  </si>
  <si>
    <t>Total Attenuation</t>
  </si>
  <si>
    <t>with (1)</t>
  </si>
  <si>
    <t>with (2)</t>
  </si>
  <si>
    <t>Brian R. Jones</t>
  </si>
  <si>
    <t>Integrated ITU P618 model on downlink and DVBS2 Lookup table</t>
  </si>
  <si>
    <t>%</t>
  </si>
  <si>
    <t>dBi/K</t>
  </si>
  <si>
    <t>TX</t>
  </si>
  <si>
    <t>RX</t>
  </si>
  <si>
    <t>deg</t>
  </si>
  <si>
    <t>Ground Station Effective Noise Temperature faded:</t>
  </si>
  <si>
    <t>Ground Station Sky Temperature faded:</t>
  </si>
  <si>
    <t>Skynoise</t>
  </si>
  <si>
    <t>Ground Station Figure of Merrit (G/T) faded:</t>
  </si>
  <si>
    <t>mm/hr</t>
  </si>
  <si>
    <t>Downlink Antenna Dia.</t>
  </si>
  <si>
    <t>GHz</t>
  </si>
  <si>
    <t>Antenna Dia.:</t>
  </si>
  <si>
    <t>Meters</t>
  </si>
  <si>
    <t>Aperture Efficiency:</t>
  </si>
  <si>
    <t>Half Power</t>
  </si>
  <si>
    <t>(P/2) Beamwidth:</t>
  </si>
  <si>
    <t>Use This Calculation in Link Budget?</t>
  </si>
  <si>
    <t xml:space="preserve">       Peak Gain:</t>
  </si>
  <si>
    <t>= Availability</t>
  </si>
  <si>
    <t>= Total Gaseous Attenuation</t>
  </si>
  <si>
    <t>V0.l11F</t>
  </si>
  <si>
    <t>V0.11H</t>
  </si>
  <si>
    <t>Version 2.0; Rev: V0l.11G</t>
  </si>
  <si>
    <t>Incorporates ITU P618-6 Rain Model</t>
  </si>
  <si>
    <t>Gain Selection</t>
  </si>
  <si>
    <t>Select Downlink Availability:</t>
  </si>
  <si>
    <t>Bits/  symbol</t>
  </si>
  <si>
    <t>Spectral Efficiency</t>
  </si>
  <si>
    <t>Cloud Attenuation</t>
  </si>
  <si>
    <t xml:space="preserve">Scintillation </t>
  </si>
  <si>
    <t>Clear Sky</t>
  </si>
  <si>
    <r>
      <t xml:space="preserve">Atm. Gaseous Attenuation </t>
    </r>
    <r>
      <rPr>
        <b/>
        <sz val="10"/>
        <rFont val="Arial"/>
        <family val="2"/>
      </rPr>
      <t>(1, 2)</t>
    </r>
  </si>
  <si>
    <t>G.S. Signal-to-Noise Power Density (clear sky)</t>
  </si>
  <si>
    <t>G.S. C/ (No+Io):</t>
  </si>
  <si>
    <t xml:space="preserve">    From ITU P618-6 Rain Model</t>
  </si>
  <si>
    <t>(See Tab 1B, Cell [C4]</t>
  </si>
  <si>
    <r>
      <t>C/(N</t>
    </r>
    <r>
      <rPr>
        <b/>
        <sz val="8"/>
        <rFont val="Arial"/>
        <family val="2"/>
      </rPr>
      <t>o</t>
    </r>
    <r>
      <rPr>
        <b/>
        <sz val="10"/>
        <rFont val="Arial"/>
        <family val="2"/>
      </rPr>
      <t>+I</t>
    </r>
    <r>
      <rPr>
        <b/>
        <sz val="8"/>
        <rFont val="Arial"/>
        <family val="2"/>
      </rPr>
      <t>o</t>
    </r>
    <r>
      <rPr>
        <b/>
        <sz val="10"/>
        <rFont val="Arial"/>
        <family val="2"/>
      </rPr>
      <t>)</t>
    </r>
  </si>
  <si>
    <t>C/(N+I)</t>
  </si>
  <si>
    <t>Adaptive Modulation Achieved:</t>
  </si>
  <si>
    <t>Adaptive Coding Achieved:</t>
  </si>
  <si>
    <r>
      <t xml:space="preserve">Data Rate Achieved (@ Elev. </t>
    </r>
    <r>
      <rPr>
        <sz val="14"/>
        <rFont val="Symbol"/>
        <family val="1"/>
        <charset val="2"/>
      </rPr>
      <t xml:space="preserve">Ð </t>
    </r>
    <r>
      <rPr>
        <sz val="14"/>
        <rFont val="Arial"/>
        <family val="2"/>
      </rPr>
      <t>):</t>
    </r>
  </si>
  <si>
    <t>Rain Rate mm/Hr  A.01:</t>
  </si>
  <si>
    <t>User Selectable Parameters:</t>
  </si>
  <si>
    <t>Symbol Rate Achieved:</t>
  </si>
  <si>
    <t>IMR:</t>
  </si>
  <si>
    <t>Rain Model Results</t>
  </si>
  <si>
    <t>bps/sym</t>
  </si>
  <si>
    <t>)</t>
  </si>
  <si>
    <t>Channel(s)</t>
  </si>
  <si>
    <t>Specified Bandwidth in MHz     (Per Channel)</t>
  </si>
  <si>
    <t>From ITU P618-6 Rain Model</t>
  </si>
  <si>
    <t>Achievable Spectral Efficiency:</t>
  </si>
  <si>
    <t>To South Pole Station</t>
  </si>
  <si>
    <t>Edited Cells D12, D13, D15, F17 of Worksheet 9; added antenna gain&amp;beamwidth calculators to 5-User Set-Up Antennas; Modified Tab 5, Cell [P56] to include "Sky Temp" from ITU Model Output; Corrected formula at Cell [C40], Tab 1B; Corrected formula at Cell [C1] of Tab 8-.</t>
  </si>
  <si>
    <t>Converted Workbook from Transponder to Two Independent Links - Uplink CMD &amp; Downlink TLM</t>
  </si>
  <si>
    <t>A. Basic TX and RX Set-Up Parameters:</t>
  </si>
  <si>
    <t>Receiver Uplink Frequency (Band):</t>
  </si>
  <si>
    <t>Transmitter Downlink Frequency (Band):</t>
  </si>
  <si>
    <t>Receiver G/T:</t>
  </si>
  <si>
    <t>Transmitter Total RF Power Output:</t>
  </si>
  <si>
    <t>Transmitter HPA Output Back-Off (OBO):</t>
  </si>
  <si>
    <t>Transmitter DC/RF Efficiency (Average):</t>
  </si>
  <si>
    <t>Transmitter Intermodulation Ratio (IMR):</t>
  </si>
  <si>
    <t xml:space="preserve">Transmitter Total DC Input Power:  </t>
  </si>
  <si>
    <t>Spacecraft RX LNA Noise Temperature:</t>
  </si>
  <si>
    <t>Spacecraft RX Input Filter Insertion Loss:</t>
  </si>
  <si>
    <t>S/C TX HPA Power Output:</t>
  </si>
  <si>
    <t>Spacecraft TX Antenna Gain:</t>
  </si>
  <si>
    <t>S/C TX Antenna Pointing Loss:</t>
  </si>
  <si>
    <t>Spacecraft TX Line Losses:</t>
  </si>
  <si>
    <t>Select Channels per Transmitter:</t>
  </si>
  <si>
    <t>Take from Link Scenario Planner:</t>
  </si>
  <si>
    <t xml:space="preserve">               Peak Gain:</t>
  </si>
  <si>
    <t>Selected at 5-User Terminal Set-Up, Cell [G75]</t>
  </si>
  <si>
    <t xml:space="preserve">This parameter Sets the Receiver </t>
  </si>
  <si>
    <t>Use Transmitter and Receiver Center Frequencies.</t>
  </si>
  <si>
    <t xml:space="preserve">RX Uplink:  </t>
  </si>
  <si>
    <t>TX Downlink:</t>
  </si>
  <si>
    <t>Ground Station Command Antenna Gain:</t>
  </si>
  <si>
    <t>Transmitter Power Allocaton/User:</t>
  </si>
  <si>
    <t>This is the S/N for Uplink Data signal seen at the S/C Rcvr IF, measured after the BPF, in the bandwidth determined by that filter.</t>
  </si>
  <si>
    <t>This is the interference density seen at the S/C Receiver.  Assume Uniform Density Across Filter Bandwidth.</t>
  </si>
  <si>
    <t>Receiver IF Bandwidth:</t>
  </si>
  <si>
    <t>Receiver Uplink Input Noise Power</t>
  </si>
  <si>
    <t>Receiver Uplink C/I (Power Ratio):</t>
  </si>
  <si>
    <t>Receiver Uplink Interference Signal Density (Io):</t>
  </si>
  <si>
    <t>Received Uplink Total Interference Power (I):</t>
  </si>
  <si>
    <t>Receiver Total Uplink Noise Power (N+I):</t>
  </si>
  <si>
    <t>This is the ratio of the User signal level compared to the Interference Noise in the entire Receiver IF Filter Bandwidth</t>
  </si>
  <si>
    <t xml:space="preserve">This is the total noise power produced at the IF filer output. </t>
  </si>
  <si>
    <t>NOTE:  Use this parameter only if baseband filter bandwith is &lt; IF filter bandwidth; otherwise set equal to IF filter bandwidth.</t>
  </si>
  <si>
    <r>
      <t xml:space="preserve">Transmit </t>
    </r>
    <r>
      <rPr>
        <sz val="14"/>
        <rFont val="Symbol"/>
        <family val="1"/>
        <charset val="2"/>
      </rPr>
      <t>h</t>
    </r>
    <r>
      <rPr>
        <sz val="14"/>
        <rFont val="Arial"/>
        <family val="2"/>
      </rPr>
      <t>:</t>
    </r>
  </si>
  <si>
    <t>Uplink CMD Signal C/(No+Io) in Demod Filter Bandwidth:</t>
  </si>
  <si>
    <t xml:space="preserve">THE BOTTOM LINE FOR THE CMD UPLINK SIGNAL   </t>
  </si>
  <si>
    <t xml:space="preserve">This is the faded S/N of the Transmitter due to downlink thermal noise (AWGN) plus Spectrum Regrowth of the Tx </t>
  </si>
  <si>
    <t>NOTE: "faded" means the performance after taking into account meteorological effects which act statistically on the link</t>
  </si>
  <si>
    <t>No. of Channels (Downlink Carriers):</t>
  </si>
  <si>
    <t>or Carriers</t>
  </si>
  <si>
    <t>Adaptive</t>
  </si>
  <si>
    <t xml:space="preserve">CMD Uplink Frequency Range:  </t>
  </si>
  <si>
    <t>Select Transmitter Bandwidth:</t>
  </si>
  <si>
    <t xml:space="preserve">    &lt; ----------------------------- Rain Model Link Losses: ---------------------------------&gt;</t>
  </si>
  <si>
    <t>Adaptive MODCOD</t>
  </si>
  <si>
    <t>Implementation Loss of Spacecraft BPSK Demodulator:</t>
  </si>
  <si>
    <t>Software/Firmware Demod Assumed</t>
  </si>
  <si>
    <t>Demod Matched Filter Bandwidth:</t>
  </si>
  <si>
    <t>For Matched Filter Data Rate = Bandwidth</t>
  </si>
  <si>
    <t>Yes</t>
  </si>
  <si>
    <t>Msps</t>
  </si>
  <si>
    <r>
      <t xml:space="preserve">Atm. Gaseous Attenuation </t>
    </r>
    <r>
      <rPr>
        <b/>
        <sz val="12"/>
        <rFont val="Arial"/>
        <family val="2"/>
      </rPr>
      <t>(1)</t>
    </r>
  </si>
  <si>
    <r>
      <t xml:space="preserve">Exceed Atm. Gaseous Attenuation </t>
    </r>
    <r>
      <rPr>
        <b/>
        <sz val="12"/>
        <rFont val="Arial"/>
        <family val="2"/>
      </rPr>
      <t>(2)</t>
    </r>
  </si>
  <si>
    <r>
      <t xml:space="preserve">If </t>
    </r>
    <r>
      <rPr>
        <b/>
        <sz val="10"/>
        <rFont val="Arial"/>
        <family val="2"/>
      </rPr>
      <t>No</t>
    </r>
    <r>
      <rPr>
        <sz val="10"/>
        <rFont val="Arial"/>
        <family val="2"/>
      </rPr>
      <t xml:space="preserve"> then,</t>
    </r>
  </si>
  <si>
    <r>
      <t xml:space="preserve"> If </t>
    </r>
    <r>
      <rPr>
        <b/>
        <sz val="10"/>
        <rFont val="Arial"/>
        <family val="2"/>
      </rPr>
      <t>No</t>
    </r>
    <r>
      <rPr>
        <sz val="10"/>
        <rFont val="Arial"/>
        <family val="2"/>
      </rPr>
      <t xml:space="preserve">, then </t>
    </r>
  </si>
  <si>
    <t>Uplink</t>
  </si>
  <si>
    <t>Downlink</t>
  </si>
  <si>
    <t>At Specified Location and Elevation Angles</t>
  </si>
  <si>
    <t>Statistical Meteorological Results</t>
  </si>
  <si>
    <t>HPA Power Output =</t>
  </si>
  <si>
    <t>Eb/No =</t>
  </si>
  <si>
    <t>Transmitter Intermodulation Ratio (C/IM or IMR):</t>
  </si>
  <si>
    <t xml:space="preserve">G.S. Intermodulation Power Density (C/Io) </t>
  </si>
  <si>
    <t xml:space="preserve">Spacecraft Transmitted IM Power: </t>
  </si>
  <si>
    <t>HPA power wasted in generating IM Power. Also called IM Shoulder Power or Spectral Regrowth Power</t>
  </si>
  <si>
    <t>This is the power allocated to each Channel's signal.</t>
  </si>
  <si>
    <t>Nom. Modulation Bandwidth/Channel:</t>
  </si>
  <si>
    <t>Before Removal of Guardband Spectrum</t>
  </si>
  <si>
    <t>Total Transmitter Assigned Bandwidth:</t>
  </si>
  <si>
    <t>Adjusted Net Bandwith/Channel:</t>
  </si>
  <si>
    <t>Bandwidth of a Single Channel Adjusted for Guardband</t>
  </si>
  <si>
    <t xml:space="preserve">  Set Desired Bandwidth on Downlink</t>
  </si>
  <si>
    <t>Transmitter Power Characteristics:</t>
  </si>
  <si>
    <t>Downlink Antenna</t>
  </si>
  <si>
    <t xml:space="preserve">                  Uplink Antenna</t>
  </si>
  <si>
    <t xml:space="preserve">  OPTION #1</t>
  </si>
  <si>
    <t xml:space="preserve"> OPTION #2</t>
  </si>
  <si>
    <t xml:space="preserve">    MODCOD Results</t>
  </si>
  <si>
    <t>Uplink + Downlink Antenna</t>
  </si>
  <si>
    <t xml:space="preserve">   Combined Antenna Option Select Among Defined Options</t>
  </si>
  <si>
    <t>Manual Selection</t>
  </si>
  <si>
    <t>= Margin Above Threshold</t>
  </si>
  <si>
    <t>V3.0; Rev: 0.1</t>
  </si>
  <si>
    <t>B.  Detailed Xmtr &amp; Rcvr RF Parameters:</t>
  </si>
  <si>
    <t>TX Filter BW</t>
  </si>
  <si>
    <t>Enter Name of Communications Engineer(s):</t>
  </si>
  <si>
    <t>Key to Cell Colors:</t>
  </si>
  <si>
    <t>Amendments to Workbook:</t>
  </si>
  <si>
    <t>(Don't Change These Values or Equations!)</t>
  </si>
  <si>
    <t>Select Option #1 or #2 at Tab 7, Cells [G19 &amp; G75]</t>
  </si>
  <si>
    <t>Attenuation IF Rain is OFF:</t>
  </si>
  <si>
    <t>In Xmtr B.W.=</t>
  </si>
  <si>
    <t>Spacecraft Antenna Looking at Warm Earth</t>
  </si>
  <si>
    <t>No Rain; No Clouds</t>
  </si>
  <si>
    <t xml:space="preserve">With Rain; With Clouds </t>
  </si>
  <si>
    <t>[From ITU P618-6 Rain Model]  With Rain; With Clouds</t>
  </si>
  <si>
    <t>Rain Attenuation:</t>
  </si>
  <si>
    <t>Cloud Attenuation:</t>
  </si>
  <si>
    <t xml:space="preserve">Scintillation: </t>
  </si>
  <si>
    <t>Atmospheric Gases +Scintillation (Without Rain or Clouds):</t>
  </si>
  <si>
    <t>Isotropic Signal Level at Ground Station (Gas+Scintillation) :</t>
  </si>
  <si>
    <t>Isotropic Signal Level at Ground Station with All Met .Losses:</t>
  </si>
  <si>
    <t>Total Meteorological Losses (Including Rain + Clouds):</t>
  </si>
  <si>
    <t xml:space="preserve">                   Attenuation IF Rain is OFF:</t>
  </si>
  <si>
    <t>Achieved Spectral Efficiency:</t>
  </si>
  <si>
    <t>G.S. Signal-to-Noise Power Density (w. rain+scintillation):</t>
  </si>
  <si>
    <t>S/C Signal-to-Noise Power Density (C/No) [clear sky]:</t>
  </si>
  <si>
    <t>S/C Signal-to-Noise Power Density (C/No) [All Met. Losses]:</t>
  </si>
  <si>
    <t>[In Demodulator Filter Bandwidth]</t>
  </si>
  <si>
    <t>Uplink CMD Signal C/(N+I) [Clear Sky]:</t>
  </si>
  <si>
    <t>Uplink CMD Signal C/(N+I)  [All Meteorological Losses]:</t>
  </si>
  <si>
    <t>Uplink CMD Signal C/(No+Io) in Demod Filter BW [Clear Sky]:</t>
  </si>
  <si>
    <t>FADED [THE BOTTOM LINE FOR THE CMD UPLINK SIGNAL]</t>
  </si>
  <si>
    <t xml:space="preserve">UNFADED   </t>
  </si>
  <si>
    <t>Uplink CMD Eb/No [Clear Sky]:</t>
  </si>
  <si>
    <t>Uplink CMD Eb/No [with All Meteorological Losses Included]:</t>
  </si>
  <si>
    <t>Net Eb/No Achieved [Clear Sky]:</t>
  </si>
  <si>
    <t>Net Eb/No Achieved [with All Meteorological Losses Included]:</t>
  </si>
  <si>
    <t>UNFADED</t>
  </si>
  <si>
    <t>FADED</t>
  </si>
  <si>
    <t>Eb/No after Implementation Losses [FADED]</t>
  </si>
  <si>
    <t>Eb/No after Implementation Losses [UNFADED]</t>
  </si>
  <si>
    <t>V4.0</t>
  </si>
  <si>
    <t>Made Major Corrections to the Faded and Unfaded Paths and Put them Side-by-Side in the Link Budgets; Corrected Several Errors</t>
  </si>
  <si>
    <r>
      <rPr>
        <sz val="10"/>
        <rFont val="Symbol"/>
        <family val="1"/>
        <charset val="2"/>
      </rPr>
      <t>l</t>
    </r>
    <r>
      <rPr>
        <sz val="10"/>
        <rFont val="Arial"/>
        <family val="2"/>
      </rPr>
      <t>tx</t>
    </r>
  </si>
  <si>
    <r>
      <t>l</t>
    </r>
    <r>
      <rPr>
        <sz val="10"/>
        <rFont val="Calibri"/>
        <family val="2"/>
      </rPr>
      <t>rx</t>
    </r>
  </si>
  <si>
    <r>
      <rPr>
        <sz val="10"/>
        <rFont val="Arial"/>
        <family val="2"/>
      </rPr>
      <t xml:space="preserve">Aper. </t>
    </r>
    <r>
      <rPr>
        <sz val="10"/>
        <rFont val="Symbol"/>
        <family val="1"/>
        <charset val="2"/>
      </rPr>
      <t>Æ</t>
    </r>
  </si>
  <si>
    <t>Bandwidth</t>
  </si>
  <si>
    <t>Availability</t>
  </si>
  <si>
    <t>Link Meteorological Condition:</t>
  </si>
  <si>
    <t xml:space="preserve">  Per Channel            (1 of:</t>
  </si>
  <si>
    <r>
      <rPr>
        <b/>
        <sz val="10"/>
        <rFont val="Symbol"/>
        <family val="1"/>
        <charset val="2"/>
      </rPr>
      <t>S</t>
    </r>
    <r>
      <rPr>
        <b/>
        <sz val="10"/>
        <rFont val="Arial"/>
        <family val="2"/>
      </rPr>
      <t xml:space="preserve"> All Channels</t>
    </r>
  </si>
  <si>
    <t>G.S. C/(N+I) in User Terminal Bandwidth [w. rain+scintillation]:</t>
  </si>
  <si>
    <t>G.S. C/(N+I) in User Terminal Bandwidth [clear sky]:</t>
  </si>
  <si>
    <t>Info. Bits/Symbol</t>
  </si>
  <si>
    <t>Closest City/Town or Site Location</t>
  </si>
  <si>
    <t>= Data Transferred from Other Cells</t>
  </si>
  <si>
    <t>Include Rain &amp; Cloud Attenuation?</t>
  </si>
  <si>
    <t>In Rcvr B.W.=</t>
  </si>
  <si>
    <t>C/(No+Io)=</t>
  </si>
  <si>
    <t xml:space="preserve">             Include Rain &amp; Cloud Attenuation?</t>
  </si>
  <si>
    <t>C/(N+I) =</t>
  </si>
  <si>
    <r>
      <t>q</t>
    </r>
    <r>
      <rPr>
        <sz val="10"/>
        <rFont val="Arial"/>
        <family val="2"/>
      </rPr>
      <t xml:space="preserve"> =</t>
    </r>
  </si>
  <si>
    <t>Achievable Downlink Spacecraft Throughput:</t>
  </si>
  <si>
    <t>Achievable Downlink TLM Channel Data Rate:</t>
  </si>
  <si>
    <t>MHz/Ch.</t>
  </si>
  <si>
    <t>Transmitter DC Power Consumed:</t>
  </si>
  <si>
    <t>Tranmitter Thermal Dissipation:</t>
  </si>
  <si>
    <t>(See Worksheets 11A &amp; 11B)</t>
  </si>
  <si>
    <t>TOTAL Meteorolgical/ Environmental Losses:</t>
  </si>
  <si>
    <t>G.S. C/ (No+Io) [faded: with rain &amp; scintillation):</t>
  </si>
  <si>
    <t xml:space="preserve">  Set Desired Bandwidth on Uplink</t>
  </si>
  <si>
    <t xml:space="preserve">  Set Individual Number of FDM Channels on Downlink </t>
  </si>
  <si>
    <t>Ground Station Radome Loss:</t>
  </si>
  <si>
    <t>Required Eb/No for 10E-6 BER:</t>
  </si>
  <si>
    <t>Coherant BPSK Matched Filter Assumed (1BPS/Hz Spectral Efficiency)</t>
  </si>
  <si>
    <t xml:space="preserve">                                                                                                                                                                                          </t>
  </si>
  <si>
    <t>Earth Station Uplink:</t>
  </si>
  <si>
    <t>Earth Station Downlink:</t>
  </si>
  <si>
    <t>Using Convolutional FEC (K=7; R=1/2); 0.5 dB Implementation Loss</t>
  </si>
  <si>
    <t>DVB-S2</t>
  </si>
  <si>
    <t>A.R. Gnd = 1.0 dB; A.R. S/C = 3.0 dB; 90°</t>
  </si>
  <si>
    <t>A.R. Gnd = 1.0 dB; A.R. S/C = 3.0 dB; Worst Case Ellipse Alignment (90°)</t>
  </si>
  <si>
    <t>DVB-S2 Standard Table</t>
  </si>
  <si>
    <t>DVB-S2X Standard Table</t>
  </si>
  <si>
    <t>ETSI EN 302 307 V1.2.1 2009-08</t>
  </si>
  <si>
    <t>ETSI EN 302 307-2 V1.1.1 2014-10</t>
  </si>
  <si>
    <t>Phase Shift Keying</t>
  </si>
  <si>
    <t>S2X</t>
  </si>
  <si>
    <t>S2</t>
  </si>
  <si>
    <t>8APSK</t>
  </si>
  <si>
    <t>5/9-L</t>
  </si>
  <si>
    <t>26/45-L</t>
  </si>
  <si>
    <t>1/2-L</t>
  </si>
  <si>
    <t>8/15-L</t>
  </si>
  <si>
    <t>16PSK</t>
  </si>
  <si>
    <t>3/5-L</t>
  </si>
  <si>
    <t>2/3-L</t>
  </si>
  <si>
    <t>64APSK</t>
  </si>
  <si>
    <t>32/45-L</t>
  </si>
  <si>
    <t>128APSK</t>
  </si>
  <si>
    <t>256APSK</t>
  </si>
  <si>
    <t>29/45-L</t>
  </si>
  <si>
    <t>31/45-L</t>
  </si>
  <si>
    <t>11/15-L</t>
  </si>
  <si>
    <r>
      <t xml:space="preserve">S2 or </t>
    </r>
    <r>
      <rPr>
        <b/>
        <sz val="10"/>
        <color theme="8" tint="-0.249977111117893"/>
        <rFont val="Arial"/>
        <family val="2"/>
      </rPr>
      <t>S2X</t>
    </r>
  </si>
  <si>
    <t>ETSI EN 302307-2 DVB S2(X) V1.1.1 Theoretical Performance for Target ModCOD</t>
  </si>
  <si>
    <t>V5.0</t>
  </si>
  <si>
    <t>HSD Data Downlink Frequency Range:</t>
  </si>
  <si>
    <r>
      <t>HSD Downlink C/(N+I), C/(N</t>
    </r>
    <r>
      <rPr>
        <sz val="8"/>
        <rFont val="Arial"/>
        <family val="2"/>
      </rPr>
      <t>o</t>
    </r>
    <r>
      <rPr>
        <sz val="10"/>
        <rFont val="Arial"/>
        <family val="2"/>
      </rPr>
      <t>+I</t>
    </r>
    <r>
      <rPr>
        <sz val="8"/>
        <rFont val="Arial"/>
        <family val="2"/>
      </rPr>
      <t>o</t>
    </r>
    <r>
      <rPr>
        <sz val="10"/>
        <rFont val="Arial"/>
        <family val="2"/>
      </rPr>
      <t>) Achieved:</t>
    </r>
  </si>
  <si>
    <t>High Speed Data Uplink/Downlink Link Model</t>
  </si>
  <si>
    <t>HSD Downlink</t>
  </si>
  <si>
    <t>Achievable Es/No;Optimum Coding:</t>
  </si>
  <si>
    <r>
      <t xml:space="preserve">HSD Downlink Stn. Elev. </t>
    </r>
    <r>
      <rPr>
        <sz val="10"/>
        <rFont val="Symbol"/>
        <family val="1"/>
        <charset val="2"/>
      </rPr>
      <t>Ð</t>
    </r>
    <r>
      <rPr>
        <sz val="10"/>
        <rFont val="Arial"/>
        <family val="2"/>
      </rPr>
      <t>:</t>
    </r>
  </si>
  <si>
    <r>
      <t>C/(N</t>
    </r>
    <r>
      <rPr>
        <b/>
        <sz val="8"/>
        <color rgb="FFFF0000"/>
        <rFont val="Arial"/>
        <family val="2"/>
      </rPr>
      <t>o</t>
    </r>
    <r>
      <rPr>
        <b/>
        <sz val="9"/>
        <color indexed="10"/>
        <rFont val="Arial"/>
        <family val="2"/>
      </rPr>
      <t>+I</t>
    </r>
    <r>
      <rPr>
        <b/>
        <sz val="8"/>
        <color rgb="FFFF0000"/>
        <rFont val="Arial"/>
        <family val="2"/>
      </rPr>
      <t>o</t>
    </r>
    <r>
      <rPr>
        <b/>
        <sz val="9"/>
        <color indexed="10"/>
        <rFont val="Arial"/>
        <family val="2"/>
      </rPr>
      <t>) =</t>
    </r>
  </si>
  <si>
    <t>HSD Data Rate Achieved</t>
  </si>
  <si>
    <t>Earth Beam; 8.5° Beamwidth; Horn Phased Array a.l. OptiSys</t>
  </si>
  <si>
    <t>HSD Downlink C/No:</t>
  </si>
  <si>
    <t>ETSI EN 302307 DVB S2 Theoretical Performance for Target ModCOD</t>
  </si>
  <si>
    <t>DVB-S2(X)</t>
  </si>
  <si>
    <t>Data Uplink C/No:</t>
  </si>
  <si>
    <t>@</t>
  </si>
  <si>
    <t>mm/Hr</t>
  </si>
  <si>
    <t>HSD Transmitter Output Backoff :</t>
  </si>
  <si>
    <r>
      <t xml:space="preserve">ITU P618-6 Downlink Fade </t>
    </r>
    <r>
      <rPr>
        <sz val="10"/>
        <rFont val="Arial"/>
        <family val="2"/>
      </rPr>
      <t>(all sources)</t>
    </r>
    <r>
      <rPr>
        <sz val="12"/>
        <rFont val="Arial"/>
        <family val="2"/>
      </rPr>
      <t>:</t>
    </r>
  </si>
  <si>
    <t>ITU P618-6 Downlink Fade (all sources):</t>
  </si>
  <si>
    <r>
      <t>Results Summary</t>
    </r>
    <r>
      <rPr>
        <b/>
        <sz val="16"/>
        <color indexed="10"/>
        <rFont val="Arial"/>
        <family val="2"/>
      </rPr>
      <t>:</t>
    </r>
  </si>
  <si>
    <t>Achieved Data Uplink C/N:</t>
  </si>
  <si>
    <t>Achieved HSD Downlink C/N:</t>
  </si>
  <si>
    <t>Uplink Data Receiver:</t>
  </si>
  <si>
    <t>Downlink HSD Transmitter:</t>
  </si>
  <si>
    <t>Select Receiver Bandwidth:</t>
  </si>
  <si>
    <t>Achieved Data Uplink Es/No:</t>
  </si>
  <si>
    <r>
      <t xml:space="preserve">     Include Rain &amp; Cloud Attenuation (</t>
    </r>
    <r>
      <rPr>
        <b/>
        <sz val="14"/>
        <color rgb="FFFF0000"/>
        <rFont val="Arial"/>
        <family val="2"/>
      </rPr>
      <t xml:space="preserve">NO = </t>
    </r>
    <r>
      <rPr>
        <sz val="14"/>
        <color indexed="10"/>
        <rFont val="Arial"/>
        <family val="2"/>
      </rPr>
      <t>CLEAR SKY)?</t>
    </r>
  </si>
  <si>
    <t>Achieved HSD Downlink Es/No:</t>
  </si>
  <si>
    <r>
      <rPr>
        <sz val="12"/>
        <rFont val="Arial"/>
        <family val="2"/>
      </rPr>
      <t>%</t>
    </r>
    <r>
      <rPr>
        <sz val="12"/>
        <color indexed="9"/>
        <rFont val="Arial"/>
        <family val="2"/>
      </rPr>
      <t xml:space="preserve"> Link Availability</t>
    </r>
  </si>
  <si>
    <r>
      <t xml:space="preserve">Uplink Data Stn. Elev. </t>
    </r>
    <r>
      <rPr>
        <sz val="10"/>
        <rFont val="Symbol"/>
        <family val="1"/>
        <charset val="2"/>
      </rPr>
      <t>Ð</t>
    </r>
    <r>
      <rPr>
        <sz val="10"/>
        <rFont val="Arial"/>
        <family val="2"/>
      </rPr>
      <t>:</t>
    </r>
  </si>
  <si>
    <t>V6.1</t>
  </si>
  <si>
    <t xml:space="preserve">Jan A. King </t>
  </si>
  <si>
    <t xml:space="preserve">Added DVB-S2X MODCOD Steps to MODCOD Table at Tab "10B-DVBS2(X) ModCOD" </t>
  </si>
  <si>
    <t>Added DVB-S2 MODCOD Steps to a new MODCOD Table for the RX Uplink at Tab "10A-DVBS2 ModCOD" ; General Cleanup</t>
  </si>
  <si>
    <t>= Each User Es/No (dB) at Full Supported Data Rate</t>
  </si>
  <si>
    <t>Current Elev. Angle:</t>
  </si>
  <si>
    <t>@ Elevation Angle:</t>
  </si>
  <si>
    <r>
      <rPr>
        <u/>
        <sz val="12"/>
        <rFont val="Arial"/>
        <family val="2"/>
      </rPr>
      <t>Bandwidth</t>
    </r>
    <r>
      <rPr>
        <sz val="12"/>
        <rFont val="Arial"/>
        <family val="2"/>
      </rPr>
      <t>:</t>
    </r>
  </si>
  <si>
    <r>
      <rPr>
        <u/>
        <sz val="10"/>
        <rFont val="Arial"/>
        <family val="2"/>
      </rPr>
      <t>Lower Edge</t>
    </r>
    <r>
      <rPr>
        <sz val="10"/>
        <rFont val="Arial"/>
        <family val="2"/>
      </rPr>
      <t>:</t>
    </r>
  </si>
  <si>
    <r>
      <rPr>
        <u/>
        <sz val="10"/>
        <rFont val="Arial"/>
        <family val="2"/>
      </rPr>
      <t>Upper Edge</t>
    </r>
    <r>
      <rPr>
        <sz val="10"/>
        <rFont val="Arial"/>
        <family val="2"/>
      </rPr>
      <t>:</t>
    </r>
  </si>
  <si>
    <r>
      <rPr>
        <u/>
        <sz val="12"/>
        <rFont val="Arial"/>
        <family val="2"/>
      </rPr>
      <t>Band Edge Frequencies</t>
    </r>
    <r>
      <rPr>
        <sz val="12"/>
        <rFont val="Arial"/>
        <family val="2"/>
      </rPr>
      <t>:</t>
    </r>
  </si>
  <si>
    <t>User Ground Station Equipment Uplink and Downlink Set-Up:</t>
  </si>
  <si>
    <t>Uplink Data Receiver Budget:</t>
  </si>
  <si>
    <t>HSD Downlink DVB-S2(X) MODCOD Table:</t>
  </si>
  <si>
    <t>Receive Data Uplink DVB-S2 MODCOD Table:</t>
  </si>
  <si>
    <r>
      <t>NOTES:</t>
    </r>
    <r>
      <rPr>
        <sz val="10"/>
        <rFont val="Arial"/>
        <family val="2"/>
      </rPr>
      <t xml:space="preserve">  1) Cells Not Yet Protected; 2) Modify </t>
    </r>
    <r>
      <rPr>
        <b/>
        <sz val="10"/>
        <rFont val="Arial"/>
        <family val="2"/>
      </rPr>
      <t>these Blue Cells a</t>
    </r>
    <r>
      <rPr>
        <sz val="10"/>
        <rFont val="Arial"/>
        <family val="2"/>
      </rPr>
      <t>s Necessary</t>
    </r>
  </si>
  <si>
    <t>S-Band Uplink Using DVB-S2</t>
  </si>
  <si>
    <t>Downlink HSD Transmitter Budget:</t>
  </si>
  <si>
    <t xml:space="preserve"> Data Rate</t>
  </si>
  <si>
    <t>SYSTEM LINK SUMMARY BLOCK DIAGRAM</t>
  </si>
  <si>
    <r>
      <t>Data Uplink  C/(N+I), C/(N</t>
    </r>
    <r>
      <rPr>
        <sz val="8"/>
        <rFont val="Arial"/>
        <family val="2"/>
      </rPr>
      <t>o</t>
    </r>
    <r>
      <rPr>
        <sz val="10"/>
        <rFont val="Arial"/>
        <family val="2"/>
      </rPr>
      <t>+I</t>
    </r>
    <r>
      <rPr>
        <sz val="8"/>
        <rFont val="Arial"/>
        <family val="2"/>
      </rPr>
      <t>o</t>
    </r>
    <r>
      <rPr>
        <sz val="10"/>
        <rFont val="Arial"/>
        <family val="2"/>
      </rPr>
      <t>) Achieved:</t>
    </r>
  </si>
  <si>
    <t>Link Scenrario Planner:</t>
  </si>
  <si>
    <t>Title Page:</t>
  </si>
  <si>
    <t>Note:  Set Bandwidth at Tab 3,                  Cell [E8]</t>
  </si>
  <si>
    <t>Note:  Set Bandwidth at Tab 3,         Cell [E10]</t>
  </si>
  <si>
    <t>Data Uplink</t>
  </si>
  <si>
    <t>Uplink:  User Uplink EIRP:</t>
  </si>
  <si>
    <t>V6.2</t>
  </si>
  <si>
    <t>No</t>
  </si>
  <si>
    <r>
      <t xml:space="preserve">Earth and Orbit Shape for Figure in Orbit Performance W/S  </t>
    </r>
    <r>
      <rPr>
        <b/>
        <sz val="12"/>
        <color indexed="10"/>
        <rFont val="Arial"/>
        <family val="2"/>
      </rPr>
      <t>[NOTE:  DO NOT MODIFY THIS WORKSHEET]</t>
    </r>
  </si>
  <si>
    <t>Earth Station Location</t>
  </si>
  <si>
    <t>Tx Ant Gain (dBi)</t>
  </si>
  <si>
    <t>Tx PWR (dBW)</t>
  </si>
  <si>
    <t>TX EIRP (dBW)</t>
  </si>
  <si>
    <t>Santa Clara, CA, USA</t>
  </si>
  <si>
    <t>Littleton, CO, USA</t>
  </si>
  <si>
    <t>Kermit, TX, USA</t>
  </si>
  <si>
    <t>Carson City, NV, USA</t>
  </si>
  <si>
    <t>Tromsø, NO (KSAT)*</t>
  </si>
  <si>
    <t>Earth Station Location and Important Performance Data:</t>
  </si>
  <si>
    <t>Pt. Barrow, AL, USA</t>
  </si>
  <si>
    <t>Frequency Bands</t>
  </si>
  <si>
    <t>New York, NY, USA</t>
  </si>
  <si>
    <t>Chicago,IL,USA</t>
  </si>
  <si>
    <t>Boulder, CO, USA</t>
  </si>
  <si>
    <t>Houston, TX, USA</t>
  </si>
  <si>
    <t>S-band Up/Ka-Down</t>
  </si>
  <si>
    <t>UHF TT&amp;C/ S-band Up</t>
  </si>
  <si>
    <t>Longitude (deg.)</t>
  </si>
  <si>
    <t>Latitude  (deg.)</t>
  </si>
  <si>
    <t>TBD</t>
  </si>
  <si>
    <t>Other Earth Station Site</t>
  </si>
  <si>
    <t>Earth Station No.:</t>
  </si>
  <si>
    <t>Troll, Antarctica (KSAT)*</t>
  </si>
  <si>
    <t>UHF TT&amp;C/ S-band CMD &amp; Data Up</t>
  </si>
  <si>
    <t>S-band Data Up/Ka-Down</t>
  </si>
  <si>
    <t>S-band TT&amp;C Uplink</t>
  </si>
  <si>
    <t>Svalbard, Norway (KSAT)*</t>
  </si>
  <si>
    <t>(Enter Data)</t>
  </si>
  <si>
    <t>RX Ant Gain (dBi)</t>
  </si>
  <si>
    <t>S-Band Uplink TX</t>
  </si>
  <si>
    <t>Ka-Band Downlink RX</t>
  </si>
  <si>
    <t>UHF Downlink RX</t>
  </si>
  <si>
    <t>UHF Uplink TX</t>
  </si>
  <si>
    <t>RX G/T (dB/K)</t>
  </si>
  <si>
    <t>Earth Station</t>
  </si>
  <si>
    <t>LNA Noise Temp (K)</t>
  </si>
  <si>
    <t>New Orleans, LA, USA</t>
  </si>
  <si>
    <t>Los Angles, CA, USA</t>
  </si>
  <si>
    <t>SELECTED EARTH STATION:</t>
  </si>
  <si>
    <t>Altitude Above MSL (km)</t>
  </si>
  <si>
    <t>Tab 2</t>
  </si>
  <si>
    <t>Tab 3</t>
  </si>
  <si>
    <t>Tab 4A</t>
  </si>
  <si>
    <t>Tab 4B</t>
  </si>
  <si>
    <t>Tab 5</t>
  </si>
  <si>
    <t>Select Earth Station Location at Cell [B26]</t>
  </si>
  <si>
    <t>Tab 6</t>
  </si>
  <si>
    <t>Tab 7</t>
  </si>
  <si>
    <t>Tab 8</t>
  </si>
  <si>
    <t>Tab 9</t>
  </si>
  <si>
    <t>Tab 10A</t>
  </si>
  <si>
    <t>Tab 10B</t>
  </si>
  <si>
    <t>Tab 11A</t>
  </si>
  <si>
    <t>Tab 11B</t>
  </si>
  <si>
    <t xml:space="preserve">     ITU Rain Model Meteorological Losses, Statistical - HSD Downlink</t>
  </si>
  <si>
    <t xml:space="preserve">     ITU Rain Model Meteorological Losses, Statistical - Data Uplink</t>
  </si>
  <si>
    <t>Tab 12</t>
  </si>
  <si>
    <t xml:space="preserve">     Transciever Link Results (For Both the Uplink and the Downlink):</t>
  </si>
  <si>
    <t>Tab 13</t>
  </si>
  <si>
    <t>Tab 14</t>
  </si>
  <si>
    <t>Set Earth Station Details @ Tab 4B, Cell [B26]</t>
  </si>
  <si>
    <t>Tab 1</t>
  </si>
  <si>
    <t>V6.3</t>
  </si>
  <si>
    <t>Added Tab 4B-Earth Stations; Selected E.S. is pushed to Tab-3 Link Scenario Planner</t>
  </si>
  <si>
    <t>NOT Currently in Use</t>
  </si>
  <si>
    <t>Selected Earth Station Latitude:</t>
  </si>
  <si>
    <t>Selected Earth Station Longitude:</t>
  </si>
  <si>
    <t>Select Earth Stn. Antenna Size:</t>
  </si>
  <si>
    <t>Configuration Control</t>
  </si>
  <si>
    <t>Added Conditional Formatting to MODCOD Tables to highlight selected ACM MODCOD</t>
  </si>
  <si>
    <t>V6.3.1</t>
  </si>
  <si>
    <t>Clean Up; Remove References to CMD and TLM; Add "Data" and HSD instead.</t>
  </si>
  <si>
    <t>Data TX Transmission Line Losses:</t>
  </si>
  <si>
    <t>Data Signal Uplink C/N in Rcvr Bandwidth [Clear Sky]:</t>
  </si>
  <si>
    <t>Data Signal Uplink C/N in Rcvr BW [w. All Met. Losses]:</t>
  </si>
  <si>
    <t>Data Signal C(N+I) in Rcvr Bandwidth [Clear Sky]:</t>
  </si>
  <si>
    <t>Data Signal C(N+I) in Rcvr Bandwidth [w. All Met. Losses]:</t>
  </si>
  <si>
    <t>Data Uplink System Margin [Clear Sky}:</t>
  </si>
  <si>
    <t>Data Uplink System Margin [with All Meteorological Losses Incl.]:</t>
  </si>
  <si>
    <t>Open Research Institute:  MVP Amateur Radio Satellite System</t>
  </si>
  <si>
    <t>mmW Digital Transponder -  Data Link Using DVB S2(X)</t>
  </si>
  <si>
    <r>
      <t>Lens Aided Horn; 27</t>
    </r>
    <r>
      <rPr>
        <b/>
        <sz val="10"/>
        <rFont val="Symbol"/>
        <family val="1"/>
        <charset val="2"/>
      </rPr>
      <t>°</t>
    </r>
    <r>
      <rPr>
        <b/>
        <sz val="10"/>
        <rFont val="Arial"/>
        <family val="2"/>
      </rPr>
      <t xml:space="preserve"> BW</t>
    </r>
  </si>
  <si>
    <r>
      <t xml:space="preserve">(6.2 cm L x 7.4 cm </t>
    </r>
    <r>
      <rPr>
        <b/>
        <sz val="10"/>
        <rFont val="Calibri"/>
        <family val="2"/>
      </rPr>
      <t>Φ</t>
    </r>
    <r>
      <rPr>
        <b/>
        <sz val="10"/>
        <rFont val="Arial"/>
        <family val="2"/>
      </rPr>
      <t>)</t>
    </r>
  </si>
  <si>
    <t>VCM Mode</t>
  </si>
  <si>
    <t>HEO Orbit Properties</t>
  </si>
  <si>
    <t xml:space="preserve">      S/C Spinning and NADIR-Pointing at Apogee</t>
  </si>
  <si>
    <t>Height of Apogee:</t>
  </si>
  <si>
    <t>Height of Perigee:</t>
  </si>
  <si>
    <t>Inclination (I):</t>
  </si>
  <si>
    <r>
      <t>Argument of Perigee (</t>
    </r>
    <r>
      <rPr>
        <sz val="10"/>
        <rFont val="Symbol"/>
        <family val="1"/>
      </rPr>
      <t>w):</t>
    </r>
  </si>
  <si>
    <r>
      <t>R.A.A.N. (</t>
    </r>
    <r>
      <rPr>
        <sz val="10"/>
        <rFont val="Symbol"/>
        <family val="1"/>
      </rPr>
      <t>W):</t>
    </r>
  </si>
  <si>
    <r>
      <t>d</t>
    </r>
    <r>
      <rPr>
        <sz val="10"/>
        <rFont val="Symbol"/>
        <family val="1"/>
      </rPr>
      <t>w/</t>
    </r>
    <r>
      <rPr>
        <sz val="10"/>
        <rFont val="Arial"/>
        <family val="2"/>
      </rPr>
      <t>dt:</t>
    </r>
  </si>
  <si>
    <r>
      <t>d</t>
    </r>
    <r>
      <rPr>
        <sz val="10"/>
        <rFont val="Symbol"/>
        <family val="1"/>
      </rPr>
      <t>W</t>
    </r>
    <r>
      <rPr>
        <sz val="10"/>
        <rFont val="Arial"/>
        <family val="2"/>
      </rPr>
      <t>/dt:</t>
    </r>
  </si>
  <si>
    <t>HEO</t>
  </si>
  <si>
    <t>Orbit</t>
  </si>
  <si>
    <t>Geometry</t>
  </si>
  <si>
    <t>CASE NO. SELECTED:</t>
  </si>
  <si>
    <t>km Altitude</t>
  </si>
  <si>
    <t>Elevation Angle:</t>
  </si>
  <si>
    <t xml:space="preserve">   Slant Range (S): </t>
  </si>
  <si>
    <t>CASE:</t>
  </si>
  <si>
    <t>R(km):</t>
  </si>
  <si>
    <t>altitude (km):</t>
  </si>
  <si>
    <t>deg.</t>
  </si>
  <si>
    <t>SOME KEY ORBIT &amp; LINK PARAMETERS</t>
  </si>
  <si>
    <r>
      <t>EARTH ANGULAR DIAMETER (</t>
    </r>
    <r>
      <rPr>
        <sz val="9"/>
        <rFont val="Symbol"/>
        <family val="1"/>
      </rPr>
      <t>g</t>
    </r>
    <r>
      <rPr>
        <sz val="9"/>
        <rFont val="Arial"/>
        <family val="2"/>
      </rPr>
      <t>):</t>
    </r>
  </si>
  <si>
    <r>
      <t>S/C POINTING VECTOR (</t>
    </r>
    <r>
      <rPr>
        <sz val="10"/>
        <rFont val="Symbol"/>
        <family val="1"/>
      </rPr>
      <t>a</t>
    </r>
    <r>
      <rPr>
        <sz val="10"/>
        <rFont val="Arial"/>
        <family val="2"/>
      </rPr>
      <t>):</t>
    </r>
  </si>
  <si>
    <t>User Defined Case:</t>
  </si>
  <si>
    <t>kbps</t>
  </si>
  <si>
    <r>
      <t>Lens Aided Horn; 16</t>
    </r>
    <r>
      <rPr>
        <b/>
        <sz val="10"/>
        <rFont val="Symbol"/>
        <family val="1"/>
        <charset val="2"/>
      </rPr>
      <t>°</t>
    </r>
    <r>
      <rPr>
        <b/>
        <sz val="10"/>
        <rFont val="Arial"/>
        <family val="2"/>
      </rPr>
      <t xml:space="preserve"> BW </t>
    </r>
  </si>
  <si>
    <r>
      <t xml:space="preserve">(3.9 cm L x 5.6 cm </t>
    </r>
    <r>
      <rPr>
        <b/>
        <sz val="10"/>
        <rFont val="Calibri"/>
        <family val="2"/>
      </rPr>
      <t>Φ</t>
    </r>
    <r>
      <rPr>
        <b/>
        <sz val="10"/>
        <rFont val="Arial"/>
        <family val="2"/>
      </rPr>
      <t>)</t>
    </r>
  </si>
  <si>
    <t xml:space="preserve">S/C RX Ant. Temp.(K) </t>
  </si>
  <si>
    <t>GROUND STN RCVR C/(No+Io):</t>
  </si>
  <si>
    <t>S/C RCVR C/(No+Io)</t>
  </si>
  <si>
    <t>High Earth Orbit (HEO)</t>
  </si>
  <si>
    <t>Spacecraft Transmit Antenna Performance:</t>
  </si>
  <si>
    <t xml:space="preserve">Frequency:  </t>
  </si>
  <si>
    <t>Antenna Diameter:</t>
  </si>
  <si>
    <t>Peak Gain:</t>
  </si>
  <si>
    <t>Half Power BW:</t>
  </si>
  <si>
    <t>Wavelength:</t>
  </si>
  <si>
    <r>
      <t xml:space="preserve">Aperture Dia. (In </t>
    </r>
    <r>
      <rPr>
        <sz val="10"/>
        <rFont val="Symbol"/>
        <family val="1"/>
        <charset val="2"/>
      </rPr>
      <t>l</t>
    </r>
    <r>
      <rPr>
        <sz val="10"/>
        <rFont val="Arial"/>
        <family val="2"/>
      </rPr>
      <t>):</t>
    </r>
  </si>
  <si>
    <t>dBi</t>
  </si>
  <si>
    <t>m</t>
  </si>
  <si>
    <t>l</t>
  </si>
  <si>
    <t>Spacecraft Receive Antenna Performance:</t>
  </si>
  <si>
    <t>NOTE:  Do not modify or use cells to left of table.</t>
  </si>
  <si>
    <r>
      <t>Pwr (</t>
    </r>
    <r>
      <rPr>
        <b/>
        <sz val="10"/>
        <rFont val="Symbol"/>
        <family val="1"/>
      </rPr>
      <t>q)</t>
    </r>
    <r>
      <rPr>
        <b/>
        <sz val="10"/>
        <rFont val="Arial"/>
        <family val="2"/>
      </rPr>
      <t xml:space="preserve"> w.r.t. Peak Gain:</t>
    </r>
  </si>
  <si>
    <r>
      <t xml:space="preserve">q </t>
    </r>
    <r>
      <rPr>
        <b/>
        <sz val="10"/>
        <rFont val="Arial"/>
        <family val="2"/>
      </rPr>
      <t>(degrees):</t>
    </r>
  </si>
  <si>
    <t>Main Lobe</t>
  </si>
  <si>
    <t>(Half Power B.W.)/2</t>
  </si>
  <si>
    <t>First Null</t>
  </si>
  <si>
    <t>First Sidelobe</t>
  </si>
  <si>
    <t>2nd Null</t>
  </si>
  <si>
    <t>2nd Sidelobe</t>
  </si>
  <si>
    <t>3rd Null</t>
  </si>
  <si>
    <t>3rd Sidelobe</t>
  </si>
  <si>
    <t>4th Null</t>
  </si>
  <si>
    <t>4th Sidelobe</t>
  </si>
  <si>
    <t>This is the power associated with uplinking user station.</t>
  </si>
  <si>
    <t>Selected at 7-User Terminal Set-Up, Cell [G19]</t>
  </si>
  <si>
    <t>C.  Detailed TX &amp; RX Antenna Parameters:</t>
  </si>
  <si>
    <t>HEO Orbit Geometry</t>
  </si>
  <si>
    <t>Roll-Off Loss from User</t>
  </si>
  <si>
    <t>Roll-Off Loss to User</t>
  </si>
  <si>
    <r>
      <t xml:space="preserve">Based on User Elev. </t>
    </r>
    <r>
      <rPr>
        <sz val="8"/>
        <rFont val="Symbol"/>
        <family val="1"/>
        <charset val="2"/>
      </rPr>
      <t>Ð</t>
    </r>
  </si>
  <si>
    <t>TX ANTENNA 1/2 Half-Power BW:</t>
  </si>
  <si>
    <t>RX ANTENNA 1/2 Half-Power BW:</t>
  </si>
  <si>
    <t xml:space="preserve">S/C Transmitter/Receiver  Basic Set-Up Parameters:  </t>
  </si>
  <si>
    <t>Take from Link Scenario Planner</t>
  </si>
  <si>
    <t>Spacecraft Transmit Antenna Pattern Roll-Off Characteristics:</t>
  </si>
  <si>
    <t>Spacecraft Receive Antenna Pattern Roll-Off Characteristics:</t>
  </si>
  <si>
    <t>Lens-Aided Horn Antenna; Loss Value Determined Using Look-Up Table at Tab 6, Line 115, Transmit Antenna</t>
  </si>
  <si>
    <t>Lens-Aided Horn Antenna; Loss Value Determined Useing Look-Up Table at Tab 6, Line 115, ReceiveAntenna</t>
  </si>
  <si>
    <t>Based on Current MA (Case#)</t>
  </si>
  <si>
    <t>MA(deg.):</t>
  </si>
  <si>
    <t>Set at Tab 6; Section C</t>
  </si>
  <si>
    <r>
      <t>WORST CASE SQUINT ANGLE (</t>
    </r>
    <r>
      <rPr>
        <sz val="10"/>
        <rFont val="Symbol"/>
        <family val="1"/>
        <charset val="2"/>
      </rPr>
      <t>g</t>
    </r>
    <r>
      <rPr>
        <sz val="10"/>
        <rFont val="Arial"/>
        <family val="2"/>
      </rPr>
      <t>/</t>
    </r>
    <r>
      <rPr>
        <sz val="9"/>
        <rFont val="Arial"/>
        <family val="2"/>
      </rPr>
      <t>2</t>
    </r>
    <r>
      <rPr>
        <sz val="10"/>
        <rFont val="Arial"/>
        <family val="2"/>
      </rPr>
      <t>):</t>
    </r>
  </si>
  <si>
    <r>
      <t xml:space="preserve">ANTENNA ROLL-OFF ANGLE To USER </t>
    </r>
    <r>
      <rPr>
        <b/>
        <sz val="10"/>
        <rFont val="Arial"/>
        <family val="2"/>
      </rPr>
      <t>(</t>
    </r>
    <r>
      <rPr>
        <b/>
        <sz val="10"/>
        <rFont val="Symbol"/>
        <family val="1"/>
        <charset val="2"/>
      </rPr>
      <t>h)</t>
    </r>
    <r>
      <rPr>
        <b/>
        <sz val="8"/>
        <rFont val="Arial"/>
        <family val="2"/>
      </rPr>
      <t xml:space="preserve">:  </t>
    </r>
  </si>
  <si>
    <r>
      <t xml:space="preserve">Earth Angular </t>
    </r>
    <r>
      <rPr>
        <sz val="10"/>
        <rFont val="Calibri"/>
        <family val="2"/>
      </rPr>
      <t>Φ from S/C =</t>
    </r>
    <r>
      <rPr>
        <b/>
        <sz val="12"/>
        <rFont val="Calibri"/>
        <family val="2"/>
      </rPr>
      <t xml:space="preserve"> </t>
    </r>
    <r>
      <rPr>
        <b/>
        <sz val="12"/>
        <rFont val="Symbol"/>
        <family val="1"/>
        <charset val="2"/>
      </rPr>
      <t>g</t>
    </r>
  </si>
  <si>
    <r>
      <t>User Elevevation Angle =</t>
    </r>
    <r>
      <rPr>
        <b/>
        <sz val="12"/>
        <rFont val="Arial"/>
        <family val="2"/>
      </rPr>
      <t xml:space="preserve"> </t>
    </r>
    <r>
      <rPr>
        <b/>
        <sz val="12"/>
        <rFont val="Symbol"/>
        <family val="1"/>
        <charset val="2"/>
      </rPr>
      <t>e</t>
    </r>
  </si>
  <si>
    <t>TX ANTENNA ROLL-OFF LOSS:</t>
  </si>
  <si>
    <t>RX ANTENNA ROLL-OFF LOSS:</t>
  </si>
  <si>
    <t>Off-Point from Center of Earth</t>
  </si>
  <si>
    <r>
      <t>Also equal to</t>
    </r>
    <r>
      <rPr>
        <sz val="12"/>
        <rFont val="Arial"/>
        <family val="2"/>
      </rPr>
      <t xml:space="preserve"> </t>
    </r>
    <r>
      <rPr>
        <sz val="12"/>
        <rFont val="Symbol"/>
        <family val="1"/>
        <charset val="2"/>
      </rPr>
      <t>r</t>
    </r>
  </si>
  <si>
    <r>
      <t xml:space="preserve">Downlink Beam Roll-Off Loss </t>
    </r>
    <r>
      <rPr>
        <sz val="10"/>
        <rFont val="Symbol"/>
        <family val="1"/>
        <charset val="2"/>
      </rPr>
      <t>=</t>
    </r>
  </si>
  <si>
    <r>
      <t xml:space="preserve">Uplink Beam Roll-Off Loss </t>
    </r>
    <r>
      <rPr>
        <sz val="10"/>
        <rFont val="Symbol"/>
        <family val="1"/>
        <charset val="2"/>
      </rPr>
      <t>=</t>
    </r>
  </si>
  <si>
    <t xml:space="preserve">Uplink Achieved C/No = </t>
  </si>
  <si>
    <t>Downlink Achieved C/No =</t>
  </si>
  <si>
    <t>V7.0</t>
  </si>
  <si>
    <t>Changed DVB-S2(X) System Concept to a HEO System using X-Band Uplink &amp; Ka-Band Downlink</t>
  </si>
  <si>
    <r>
      <t xml:space="preserve">1/2 Uplink Antenna -3 dB BW = </t>
    </r>
    <r>
      <rPr>
        <b/>
        <sz val="12"/>
        <rFont val="Symbol"/>
        <family val="1"/>
        <charset val="2"/>
      </rPr>
      <t>q</t>
    </r>
    <r>
      <rPr>
        <b/>
        <sz val="8"/>
        <rFont val="Calibri"/>
        <family val="2"/>
        <scheme val="minor"/>
      </rPr>
      <t>ul</t>
    </r>
    <r>
      <rPr>
        <b/>
        <sz val="12"/>
        <rFont val="Calibri"/>
        <family val="2"/>
        <scheme val="minor"/>
      </rPr>
      <t>/2</t>
    </r>
  </si>
  <si>
    <r>
      <t>1/2 Downlink Antenna -3 dB BW =</t>
    </r>
    <r>
      <rPr>
        <b/>
        <sz val="12"/>
        <rFont val="Arial"/>
        <family val="2"/>
      </rPr>
      <t xml:space="preserve"> </t>
    </r>
    <r>
      <rPr>
        <b/>
        <sz val="12"/>
        <rFont val="Symbol"/>
        <family val="1"/>
        <charset val="2"/>
      </rPr>
      <t>q</t>
    </r>
    <r>
      <rPr>
        <b/>
        <sz val="8"/>
        <rFont val="Calibri"/>
        <family val="2"/>
        <scheme val="minor"/>
      </rPr>
      <t>dl</t>
    </r>
    <r>
      <rPr>
        <b/>
        <sz val="12"/>
        <rFont val="Arial"/>
        <family val="2"/>
      </rPr>
      <t>/2</t>
    </r>
  </si>
  <si>
    <r>
      <t>1/2 Downlink Antenna -3 dB BW =</t>
    </r>
    <r>
      <rPr>
        <b/>
        <sz val="12"/>
        <rFont val="Arial"/>
        <family val="2"/>
      </rPr>
      <t xml:space="preserve"> </t>
    </r>
    <r>
      <rPr>
        <b/>
        <sz val="12"/>
        <rFont val="Symbol"/>
        <family val="1"/>
        <charset val="2"/>
      </rPr>
      <t>q</t>
    </r>
    <r>
      <rPr>
        <b/>
        <sz val="8"/>
        <rFont val="Calibri"/>
        <family val="2"/>
        <scheme val="minor"/>
      </rPr>
      <t>dl</t>
    </r>
    <r>
      <rPr>
        <b/>
        <sz val="12"/>
        <rFont val="Calibri"/>
        <family val="2"/>
        <scheme val="minor"/>
      </rPr>
      <t>/2</t>
    </r>
  </si>
  <si>
    <r>
      <t xml:space="preserve">sin </t>
    </r>
    <r>
      <rPr>
        <b/>
        <sz val="12"/>
        <rFont val="Symbol"/>
        <family val="1"/>
        <charset val="2"/>
      </rPr>
      <t xml:space="preserve">h = </t>
    </r>
    <r>
      <rPr>
        <b/>
        <sz val="12"/>
        <rFont val="Arial"/>
        <family val="2"/>
      </rPr>
      <t xml:space="preserve">cos </t>
    </r>
    <r>
      <rPr>
        <b/>
        <sz val="12"/>
        <rFont val="Symbol"/>
        <family val="1"/>
        <charset val="2"/>
      </rPr>
      <t>e</t>
    </r>
    <r>
      <rPr>
        <b/>
        <sz val="12"/>
        <rFont val="Arial"/>
        <family val="2"/>
      </rPr>
      <t xml:space="preserve"> sin </t>
    </r>
    <r>
      <rPr>
        <b/>
        <sz val="12"/>
        <rFont val="Symbol"/>
        <family val="1"/>
        <charset val="2"/>
      </rPr>
      <t>r</t>
    </r>
  </si>
  <si>
    <r>
      <t xml:space="preserve">Max. (W C) Squint </t>
    </r>
    <r>
      <rPr>
        <sz val="10"/>
        <rFont val="Symbol"/>
        <family val="1"/>
        <charset val="2"/>
      </rPr>
      <t xml:space="preserve">Ð = </t>
    </r>
    <r>
      <rPr>
        <sz val="10"/>
        <rFont val="Arial"/>
        <family val="2"/>
      </rPr>
      <t xml:space="preserve"> </t>
    </r>
    <r>
      <rPr>
        <b/>
        <sz val="12"/>
        <rFont val="Symbol"/>
        <family val="1"/>
        <charset val="2"/>
      </rPr>
      <t>g</t>
    </r>
    <r>
      <rPr>
        <b/>
        <sz val="12"/>
        <rFont val="Arial"/>
        <family val="2"/>
      </rPr>
      <t>/2+</t>
    </r>
    <r>
      <rPr>
        <b/>
        <sz val="12"/>
        <rFont val="Calibri"/>
        <family val="2"/>
      </rPr>
      <t>α</t>
    </r>
    <r>
      <rPr>
        <b/>
        <sz val="12"/>
        <rFont val="Arial"/>
        <family val="2"/>
      </rPr>
      <t xml:space="preserve"> = </t>
    </r>
    <r>
      <rPr>
        <b/>
        <sz val="12"/>
        <rFont val="Symbol"/>
        <family val="1"/>
        <charset val="2"/>
      </rPr>
      <t>r+</t>
    </r>
    <r>
      <rPr>
        <b/>
        <sz val="12"/>
        <rFont val="Calibri"/>
        <family val="2"/>
      </rPr>
      <t>α</t>
    </r>
  </si>
  <si>
    <r>
      <t>S/C Antenna Pointing Angle =</t>
    </r>
    <r>
      <rPr>
        <b/>
        <sz val="12"/>
        <rFont val="Arial"/>
        <family val="2"/>
      </rPr>
      <t xml:space="preserve"> </t>
    </r>
    <r>
      <rPr>
        <b/>
        <sz val="12"/>
        <rFont val="Calibri"/>
        <family val="2"/>
      </rPr>
      <t>α</t>
    </r>
  </si>
  <si>
    <r>
      <t xml:space="preserve">Ant.Roll-Off Angle to User = </t>
    </r>
    <r>
      <rPr>
        <b/>
        <sz val="12"/>
        <rFont val="Symbol"/>
        <family val="1"/>
        <charset val="2"/>
      </rPr>
      <t>h</t>
    </r>
  </si>
  <si>
    <t>Developed by:  Jan A. King, W3GEY/VK4GEY and  Brian R. Jones</t>
  </si>
  <si>
    <t>=Supported Uplink Data Rate (Mbps)</t>
  </si>
  <si>
    <t>=Supported Downlink Data Rate (Mbps)</t>
  </si>
  <si>
    <t>Achieved Link (See Tab 10 A Result)</t>
  </si>
  <si>
    <t>Achieved Link (See Tab 10 B Result)</t>
  </si>
  <si>
    <t>S/C pointing vector:</t>
  </si>
  <si>
    <t>V7.0.1</t>
  </si>
  <si>
    <t>Tab 4A:  Changed Column E to "S/C Pointing Vector" from S/C Off-Point Angle" ; Value now = K31; Tab 10A, Column R, Fixed "Overhead" Calculation</t>
  </si>
  <si>
    <t>V7.0.2</t>
  </si>
  <si>
    <t>Repaired Tab 7; Cell[C71], Cell equation had been written over.</t>
  </si>
  <si>
    <t>2020 December 18</t>
  </si>
  <si>
    <t>Current Downlink TDM Channels Achieved:</t>
  </si>
  <si>
    <t>V7.0.3</t>
  </si>
  <si>
    <t xml:space="preserve">Uplink Data Rate Limit Setting per User:  </t>
  </si>
  <si>
    <t>ITU-P618-6 Rain Model/ Ver 7.0.3/ Rev. 0.1</t>
  </si>
  <si>
    <t xml:space="preserve"> Version: 7.0.3</t>
  </si>
  <si>
    <t xml:space="preserve">Tab 3: Added "Achieved Downlink TDB Channels based on Set Uplink Data Rate/User; Tab 12: Cleaned Up Old Labels </t>
  </si>
  <si>
    <t>Interplanetary</t>
  </si>
  <si>
    <t>2.3 MHz radar return</t>
  </si>
  <si>
    <t>ORI advice</t>
  </si>
  <si>
    <t>version 0.1</t>
  </si>
  <si>
    <t>2025 February 16</t>
  </si>
  <si>
    <t>ORI BOD</t>
  </si>
  <si>
    <t>Jan A. King/ W3GEY, Brian R. Jones</t>
  </si>
  <si>
    <t>Haswell Site, DSES, CO, USA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</si>
</sst>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5">
    <numFmt numFmtId="43" formatCode="_(* #,##0.00_);_(* \(#,##0.00\);_(* &quot;-&quot;??_);_(@_)"/>
    <numFmt numFmtId="164" formatCode="_-* #,##0.00_-;\-* #,##0.00_-;_-* &quot;-&quot;??_-;_-@_-"/>
    <numFmt numFmtId="165" formatCode="0.000000"/>
    <numFmt numFmtId="166" formatCode="0.00000"/>
    <numFmt numFmtId="167" formatCode="0.0000"/>
    <numFmt numFmtId="168" formatCode="0.000"/>
    <numFmt numFmtId="169" formatCode="0.0"/>
    <numFmt numFmtId="170" formatCode="_(* #,##0.0_);_(* \(#,##0.0\);_(* &quot;-&quot;??_);_(@_)"/>
    <numFmt numFmtId="171" formatCode="0.0\ &quot;dB&quot;"/>
    <numFmt numFmtId="172" formatCode="0.0\ &quot;watts&quot;"/>
    <numFmt numFmtId="173" formatCode="0.0\ &quot;dB/K&quot;"/>
    <numFmt numFmtId="174" formatCode="0.0\ &quot;dBW&quot;"/>
    <numFmt numFmtId="175" formatCode="000.0\ &quot;dB Total Active Gain&quot;"/>
    <numFmt numFmtId="176" formatCode="0.0\ &quot;dBi&quot;"/>
    <numFmt numFmtId="177" formatCode="0\ &quot;K&quot;"/>
    <numFmt numFmtId="178" formatCode="#,##0.0_);\(#,##0.0\)"/>
    <numFmt numFmtId="179" formatCode="0.0\ &quot;deg.&quot;"/>
    <numFmt numFmtId="180" formatCode="[$-C09]dd\-mmm\-yy;@"/>
    <numFmt numFmtId="181" formatCode="0.000%"/>
    <numFmt numFmtId="182" formatCode="0.00\ &quot;dBHz&quot;"/>
    <numFmt numFmtId="183" formatCode="0.0\ &quot;dBc&quot;"/>
    <numFmt numFmtId="184" formatCode="0.00\ &quot;dB&quot;"/>
    <numFmt numFmtId="185" formatCode="0.00\ &quot;kHz&quot;"/>
    <numFmt numFmtId="186" formatCode="0.0\ &quot;MHz&quot;"/>
    <numFmt numFmtId="187" formatCode="0.0%"/>
    <numFmt numFmtId="188" formatCode="0.00\ &quot;watts&quot;"/>
    <numFmt numFmtId="189" formatCode="0.000\ &quot;km&quot;"/>
    <numFmt numFmtId="190" formatCode="0.000\ "/>
    <numFmt numFmtId="191" formatCode="0.00\ "/>
    <numFmt numFmtId="192" formatCode="0.00\ &quot;MHz IF BPF Bandwidth&quot;"/>
    <numFmt numFmtId="193" formatCode="0.00000000"/>
    <numFmt numFmtId="194" formatCode="_(* #,##0.000_);_(* \(#,##0.000\);_(* &quot;-&quot;??_);_(@_)"/>
    <numFmt numFmtId="195" formatCode="#,##0.000"/>
    <numFmt numFmtId="196" formatCode="0.000\ &quot;kbps&quot;"/>
    <numFmt numFmtId="197" formatCode="0\ &quot;Ch&quot;"/>
  </numFmts>
  <fonts count="142">
    <font>
      <sz val="10"/>
      <name val="Arial"/>
    </font>
    <font>
      <sz val="12"/>
      <color theme="1"/>
      <name val="Calibri"/>
      <family val="2"/>
      <scheme val="minor"/>
    </font>
    <font>
      <sz val="10"/>
      <name val="Arial"/>
      <family val="2"/>
    </font>
    <font>
      <b/>
      <sz val="20"/>
      <color indexed="10"/>
      <name val="Arial"/>
      <family val="2"/>
    </font>
    <font>
      <sz val="20"/>
      <name val="Arial"/>
      <family val="2"/>
    </font>
    <font>
      <b/>
      <sz val="12"/>
      <name val="Arial"/>
      <family val="2"/>
    </font>
    <font>
      <b/>
      <sz val="10"/>
      <name val="Arial"/>
      <family val="2"/>
    </font>
    <font>
      <b/>
      <sz val="12"/>
      <color indexed="12"/>
      <name val="Arial"/>
      <family val="2"/>
    </font>
    <font>
      <b/>
      <sz val="10"/>
      <color indexed="12"/>
      <name val="Arial"/>
      <family val="2"/>
    </font>
    <font>
      <sz val="10"/>
      <color indexed="12"/>
      <name val="Arial"/>
      <family val="2"/>
    </font>
    <font>
      <sz val="12"/>
      <name val="Arial"/>
      <family val="2"/>
    </font>
    <font>
      <i/>
      <sz val="10"/>
      <name val="Arial"/>
      <family val="2"/>
    </font>
    <font>
      <sz val="10"/>
      <name val="Arial"/>
      <family val="2"/>
    </font>
    <font>
      <sz val="10"/>
      <name val="Symbol"/>
      <family val="1"/>
      <charset val="2"/>
    </font>
    <font>
      <b/>
      <sz val="10"/>
      <name val="Symbol"/>
      <family val="1"/>
      <charset val="2"/>
    </font>
    <font>
      <sz val="10"/>
      <color indexed="10"/>
      <name val="Arial"/>
      <family val="2"/>
    </font>
    <font>
      <b/>
      <sz val="10"/>
      <color indexed="10"/>
      <name val="Arial"/>
      <family val="2"/>
    </font>
    <font>
      <b/>
      <sz val="14"/>
      <color indexed="10"/>
      <name val="Arial"/>
      <family val="2"/>
    </font>
    <font>
      <i/>
      <sz val="10"/>
      <color indexed="10"/>
      <name val="Arial"/>
      <family val="2"/>
    </font>
    <font>
      <b/>
      <sz val="16"/>
      <name val="Arial"/>
      <family val="2"/>
    </font>
    <font>
      <sz val="10"/>
      <name val="Arial"/>
      <family val="2"/>
    </font>
    <font>
      <sz val="10"/>
      <color indexed="10"/>
      <name val="Arial"/>
      <family val="2"/>
    </font>
    <font>
      <sz val="8"/>
      <name val="Arial"/>
      <family val="2"/>
    </font>
    <font>
      <sz val="8"/>
      <color indexed="81"/>
      <name val="Tahoma"/>
      <family val="2"/>
    </font>
    <font>
      <sz val="10"/>
      <color indexed="81"/>
      <name val="Tahoma"/>
      <family val="2"/>
    </font>
    <font>
      <sz val="10"/>
      <color indexed="10"/>
      <name val="Tahoma"/>
      <family val="2"/>
    </font>
    <font>
      <b/>
      <sz val="10"/>
      <color indexed="81"/>
      <name val="Tahoma"/>
      <family val="2"/>
    </font>
    <font>
      <sz val="10"/>
      <color indexed="12"/>
      <name val="Tahoma"/>
      <family val="2"/>
    </font>
    <font>
      <sz val="20"/>
      <name val="Symbol"/>
      <family val="1"/>
      <charset val="2"/>
    </font>
    <font>
      <b/>
      <sz val="14"/>
      <name val="Arial"/>
      <family val="2"/>
    </font>
    <font>
      <sz val="16"/>
      <name val="Arial"/>
      <family val="2"/>
    </font>
    <font>
      <sz val="14"/>
      <name val="Arial"/>
      <family val="2"/>
    </font>
    <font>
      <b/>
      <sz val="8"/>
      <color indexed="81"/>
      <name val="Tahoma"/>
      <family val="2"/>
    </font>
    <font>
      <b/>
      <u/>
      <sz val="14"/>
      <name val="Arial"/>
      <family val="2"/>
    </font>
    <font>
      <b/>
      <sz val="14"/>
      <color indexed="12"/>
      <name val="Arial"/>
      <family val="2"/>
    </font>
    <font>
      <u/>
      <sz val="12"/>
      <name val="Arial"/>
      <family val="2"/>
    </font>
    <font>
      <b/>
      <u/>
      <sz val="12"/>
      <name val="Symbol"/>
      <family val="1"/>
      <charset val="2"/>
    </font>
    <font>
      <b/>
      <sz val="12"/>
      <name val="Symbol"/>
      <family val="1"/>
      <charset val="2"/>
    </font>
    <font>
      <b/>
      <sz val="9"/>
      <color indexed="81"/>
      <name val="Tahoma"/>
      <family val="2"/>
    </font>
    <font>
      <sz val="9"/>
      <color indexed="81"/>
      <name val="Tahoma"/>
      <family val="2"/>
    </font>
    <font>
      <sz val="9"/>
      <name val="Arial"/>
      <family val="2"/>
    </font>
    <font>
      <b/>
      <sz val="9"/>
      <name val="Arial"/>
      <family val="2"/>
    </font>
    <font>
      <sz val="12"/>
      <name val="Symbol"/>
      <family val="1"/>
      <charset val="2"/>
    </font>
    <font>
      <b/>
      <sz val="8"/>
      <name val="Arial"/>
      <family val="2"/>
    </font>
    <font>
      <b/>
      <sz val="9"/>
      <color indexed="10"/>
      <name val="Arial"/>
      <family val="2"/>
    </font>
    <font>
      <b/>
      <i/>
      <u/>
      <sz val="14"/>
      <color indexed="12"/>
      <name val="Arial"/>
      <family val="2"/>
    </font>
    <font>
      <b/>
      <sz val="10"/>
      <color indexed="22"/>
      <name val="Arial"/>
      <family val="2"/>
    </font>
    <font>
      <sz val="10"/>
      <name val="Courier New Greek"/>
      <family val="3"/>
      <charset val="161"/>
    </font>
    <font>
      <sz val="10"/>
      <name val="Arial Greek"/>
      <family val="2"/>
      <charset val="161"/>
    </font>
    <font>
      <b/>
      <sz val="8"/>
      <color indexed="10"/>
      <name val="Arial"/>
      <family val="2"/>
    </font>
    <font>
      <sz val="10"/>
      <name val="Arial"/>
      <family val="2"/>
    </font>
    <font>
      <b/>
      <sz val="12"/>
      <color indexed="10"/>
      <name val="Arial"/>
      <family val="2"/>
    </font>
    <font>
      <b/>
      <sz val="18"/>
      <color indexed="10"/>
      <name val="Arial"/>
      <family val="2"/>
    </font>
    <font>
      <b/>
      <sz val="10"/>
      <color indexed="10"/>
      <name val="Arial"/>
      <family val="2"/>
    </font>
    <font>
      <sz val="10"/>
      <color indexed="10"/>
      <name val="Arial"/>
      <family val="2"/>
    </font>
    <font>
      <i/>
      <sz val="12"/>
      <color indexed="60"/>
      <name val="Arial"/>
      <family val="2"/>
    </font>
    <font>
      <sz val="10"/>
      <color indexed="12"/>
      <name val="Arial"/>
      <family val="2"/>
    </font>
    <font>
      <b/>
      <sz val="10"/>
      <color indexed="12"/>
      <name val="Arial"/>
      <family val="2"/>
    </font>
    <font>
      <b/>
      <sz val="10"/>
      <color indexed="10"/>
      <name val="Arial"/>
      <family val="2"/>
    </font>
    <font>
      <b/>
      <sz val="9"/>
      <color indexed="10"/>
      <name val="Arial"/>
      <family val="2"/>
    </font>
    <font>
      <b/>
      <sz val="16"/>
      <color indexed="10"/>
      <name val="Arial"/>
      <family val="2"/>
    </font>
    <font>
      <sz val="10"/>
      <color indexed="30"/>
      <name val="Arial"/>
      <family val="2"/>
    </font>
    <font>
      <i/>
      <sz val="10"/>
      <color indexed="48"/>
      <name val="Arial"/>
      <family val="2"/>
    </font>
    <font>
      <i/>
      <sz val="10"/>
      <color indexed="10"/>
      <name val="Arial"/>
      <family val="2"/>
    </font>
    <font>
      <b/>
      <sz val="14"/>
      <color indexed="30"/>
      <name val="Arial"/>
      <family val="2"/>
    </font>
    <font>
      <b/>
      <i/>
      <sz val="10"/>
      <color indexed="12"/>
      <name val="Arial"/>
      <family val="2"/>
    </font>
    <font>
      <sz val="8"/>
      <name val="Arial"/>
      <family val="2"/>
    </font>
    <font>
      <sz val="14"/>
      <name val="Arial"/>
      <family val="2"/>
    </font>
    <font>
      <sz val="14"/>
      <color indexed="12"/>
      <name val="Arial"/>
      <family val="2"/>
    </font>
    <font>
      <sz val="9"/>
      <name val="Arial"/>
      <family val="2"/>
    </font>
    <font>
      <sz val="11"/>
      <name val="Arial"/>
      <family val="2"/>
    </font>
    <font>
      <sz val="10"/>
      <color indexed="13"/>
      <name val="Arial"/>
      <family val="2"/>
    </font>
    <font>
      <sz val="14"/>
      <color indexed="13"/>
      <name val="Arial"/>
      <family val="2"/>
    </font>
    <font>
      <sz val="14"/>
      <color indexed="9"/>
      <name val="Arial"/>
      <family val="2"/>
    </font>
    <font>
      <b/>
      <u/>
      <sz val="14"/>
      <color indexed="10"/>
      <name val="Arial"/>
      <family val="2"/>
    </font>
    <font>
      <sz val="14"/>
      <color indexed="12"/>
      <name val="Arial"/>
      <family val="2"/>
    </font>
    <font>
      <sz val="14"/>
      <color indexed="10"/>
      <name val="Arial"/>
      <family val="2"/>
    </font>
    <font>
      <sz val="14"/>
      <name val="Symbol"/>
      <family val="1"/>
      <charset val="2"/>
    </font>
    <font>
      <b/>
      <u/>
      <sz val="16"/>
      <color indexed="10"/>
      <name val="Arial"/>
      <family val="2"/>
    </font>
    <font>
      <sz val="14"/>
      <color indexed="15"/>
      <name val="Arial"/>
      <family val="2"/>
    </font>
    <font>
      <sz val="10"/>
      <color indexed="10"/>
      <name val="Arial"/>
      <family val="2"/>
    </font>
    <font>
      <b/>
      <u/>
      <sz val="14"/>
      <color indexed="12"/>
      <name val="Arial"/>
      <family val="2"/>
    </font>
    <font>
      <sz val="10"/>
      <color indexed="9"/>
      <name val="Arial"/>
      <family val="2"/>
    </font>
    <font>
      <b/>
      <sz val="12"/>
      <color indexed="13"/>
      <name val="Arial"/>
      <family val="2"/>
    </font>
    <font>
      <b/>
      <sz val="10"/>
      <color indexed="13"/>
      <name val="Arial"/>
      <family val="2"/>
    </font>
    <font>
      <b/>
      <sz val="9"/>
      <color indexed="13"/>
      <name val="Arial"/>
      <family val="2"/>
    </font>
    <font>
      <sz val="12"/>
      <color indexed="12"/>
      <name val="Arial"/>
      <family val="2"/>
    </font>
    <font>
      <sz val="9"/>
      <color indexed="13"/>
      <name val="Arial"/>
      <family val="2"/>
    </font>
    <font>
      <b/>
      <sz val="11"/>
      <color indexed="9"/>
      <name val="Arial"/>
      <family val="2"/>
    </font>
    <font>
      <b/>
      <sz val="12"/>
      <color indexed="15"/>
      <name val="Arial"/>
      <family val="2"/>
    </font>
    <font>
      <sz val="10"/>
      <name val="Calibri"/>
      <family val="2"/>
    </font>
    <font>
      <sz val="10"/>
      <color indexed="10"/>
      <name val="Arial"/>
      <family val="2"/>
    </font>
    <font>
      <b/>
      <sz val="16"/>
      <color indexed="10"/>
      <name val="Arial"/>
      <family val="2"/>
    </font>
    <font>
      <b/>
      <sz val="12"/>
      <color indexed="10"/>
      <name val="Arial"/>
      <family val="2"/>
    </font>
    <font>
      <sz val="9"/>
      <color theme="3"/>
      <name val="Arial"/>
      <family val="2"/>
    </font>
    <font>
      <b/>
      <sz val="10"/>
      <color rgb="FF0000CC"/>
      <name val="Arial"/>
      <family val="2"/>
    </font>
    <font>
      <sz val="14"/>
      <color rgb="FF0000CC"/>
      <name val="Arial"/>
      <family val="2"/>
    </font>
    <font>
      <b/>
      <sz val="12"/>
      <color rgb="FF0070C0"/>
      <name val="Arial"/>
      <family val="2"/>
    </font>
    <font>
      <sz val="10"/>
      <color rgb="FFFF0000"/>
      <name val="Arial"/>
      <family val="2"/>
    </font>
    <font>
      <b/>
      <sz val="10"/>
      <color theme="8" tint="-0.249977111117893"/>
      <name val="Arial"/>
      <family val="2"/>
    </font>
    <font>
      <b/>
      <sz val="8"/>
      <color rgb="FFFF0000"/>
      <name val="Arial"/>
      <family val="2"/>
    </font>
    <font>
      <sz val="14"/>
      <color rgb="FF32EAD4"/>
      <name val="Arial"/>
      <family val="2"/>
    </font>
    <font>
      <b/>
      <sz val="12"/>
      <color rgb="FF32EAD4"/>
      <name val="Arial"/>
      <family val="2"/>
    </font>
    <font>
      <b/>
      <sz val="14"/>
      <color rgb="FFFF0000"/>
      <name val="Arial"/>
      <family val="2"/>
    </font>
    <font>
      <sz val="12"/>
      <color indexed="9"/>
      <name val="Arial"/>
      <family val="2"/>
    </font>
    <font>
      <u/>
      <sz val="10"/>
      <name val="Arial"/>
      <family val="2"/>
    </font>
    <font>
      <i/>
      <sz val="12"/>
      <name val="Arial"/>
      <family val="2"/>
    </font>
    <font>
      <b/>
      <sz val="11"/>
      <color theme="1"/>
      <name val="Calibri"/>
      <family val="2"/>
      <scheme val="minor"/>
    </font>
    <font>
      <b/>
      <sz val="11"/>
      <color rgb="FF000000"/>
      <name val="Calibri"/>
      <family val="2"/>
      <scheme val="minor"/>
    </font>
    <font>
      <sz val="10"/>
      <name val="Calibri"/>
      <family val="2"/>
      <scheme val="minor"/>
    </font>
    <font>
      <b/>
      <sz val="10"/>
      <name val="Calibri"/>
      <family val="2"/>
      <scheme val="minor"/>
    </font>
    <font>
      <b/>
      <sz val="9"/>
      <color rgb="FFFF0000"/>
      <name val="Arial"/>
      <family val="2"/>
    </font>
    <font>
      <b/>
      <sz val="10"/>
      <color theme="4" tint="-0.249977111117893"/>
      <name val="Arial"/>
      <family val="2"/>
    </font>
    <font>
      <i/>
      <sz val="8"/>
      <name val="Arial"/>
      <family val="2"/>
    </font>
    <font>
      <i/>
      <sz val="10"/>
      <name val="Calibri"/>
      <family val="2"/>
      <scheme val="minor"/>
    </font>
    <font>
      <i/>
      <sz val="8"/>
      <name val="Calibri"/>
      <family val="2"/>
      <scheme val="minor"/>
    </font>
    <font>
      <sz val="9"/>
      <color rgb="FF000000"/>
      <name val="Arial"/>
      <family val="2"/>
    </font>
    <font>
      <b/>
      <sz val="10"/>
      <name val="Calibri"/>
      <family val="2"/>
    </font>
    <font>
      <b/>
      <i/>
      <sz val="12"/>
      <name val="Arial"/>
      <family val="2"/>
    </font>
    <font>
      <sz val="10"/>
      <name val="Symbol"/>
      <family val="1"/>
    </font>
    <font>
      <sz val="9"/>
      <name val="Symbol"/>
      <family val="1"/>
    </font>
    <font>
      <sz val="10"/>
      <color theme="1"/>
      <name val="Arial"/>
      <family val="2"/>
    </font>
    <font>
      <b/>
      <i/>
      <sz val="10"/>
      <color theme="1"/>
      <name val="Arial"/>
      <family val="2"/>
    </font>
    <font>
      <b/>
      <sz val="10"/>
      <color theme="1"/>
      <name val="Arial"/>
      <family val="2"/>
    </font>
    <font>
      <b/>
      <sz val="10"/>
      <color indexed="22"/>
      <name val="Symbol"/>
      <family val="1"/>
    </font>
    <font>
      <sz val="10"/>
      <color indexed="22"/>
      <name val="Arial"/>
      <family val="2"/>
    </font>
    <font>
      <b/>
      <sz val="10"/>
      <name val="Symbol"/>
      <family val="1"/>
    </font>
    <font>
      <sz val="10"/>
      <color theme="3" tint="-0.249977111117893"/>
      <name val="Arial"/>
      <family val="2"/>
    </font>
    <font>
      <i/>
      <sz val="9"/>
      <name val="Arial"/>
      <family val="2"/>
    </font>
    <font>
      <b/>
      <sz val="10"/>
      <color rgb="FFFF0000"/>
      <name val="Arial"/>
      <family val="2"/>
    </font>
    <font>
      <sz val="8"/>
      <name val="Symbol"/>
      <family val="1"/>
      <charset val="2"/>
    </font>
    <font>
      <b/>
      <sz val="12"/>
      <name val="Calibri"/>
      <family val="2"/>
    </font>
    <font>
      <b/>
      <sz val="8"/>
      <name val="Calibri"/>
      <family val="2"/>
      <scheme val="minor"/>
    </font>
    <font>
      <b/>
      <sz val="12"/>
      <name val="Calibri"/>
      <family val="2"/>
      <scheme val="minor"/>
    </font>
    <font>
      <sz val="10"/>
      <color theme="0" tint="-0.499984740745262"/>
      <name val="Arial"/>
      <family val="2"/>
    </font>
    <font>
      <b/>
      <sz val="10"/>
      <color rgb="FF1C07B9"/>
      <name val="Arial"/>
      <family val="2"/>
    </font>
    <font>
      <sz val="14"/>
      <color rgb="FF1C07B9"/>
      <name val="Arial"/>
      <family val="2"/>
    </font>
    <font>
      <sz val="8"/>
      <color rgb="FF000000"/>
      <name val="Tahoma"/>
      <family val="2"/>
    </font>
    <font>
      <b/>
      <sz val="10"/>
      <color rgb="FF000000"/>
      <name val="Tahoma"/>
      <family val="2"/>
    </font>
    <font>
      <sz val="10"/>
      <color rgb="FF000000"/>
      <name val="Tahoma"/>
      <family val="2"/>
    </font>
    <font>
      <sz val="9"/>
      <color rgb="FF000000"/>
      <name val="Tahoma"/>
      <family val="2"/>
    </font>
    <font>
      <sz val="9"/>
      <color theme="1"/>
      <name val="Arial"/>
      <family val="2"/>
    </font>
  </fonts>
  <fills count="38">
    <fill>
      <patternFill patternType="none"/>
    </fill>
    <fill>
      <patternFill patternType="gray125"/>
    </fill>
    <fill>
      <patternFill patternType="solid">
        <fgColor indexed="55"/>
        <bgColor indexed="64"/>
      </patternFill>
    </fill>
    <fill>
      <patternFill patternType="solid">
        <fgColor indexed="22"/>
        <bgColor indexed="64"/>
      </patternFill>
    </fill>
    <fill>
      <patternFill patternType="solid">
        <fgColor indexed="51"/>
        <bgColor indexed="64"/>
      </patternFill>
    </fill>
    <fill>
      <patternFill patternType="solid">
        <fgColor indexed="44"/>
        <bgColor indexed="64"/>
      </patternFill>
    </fill>
    <fill>
      <patternFill patternType="solid">
        <fgColor indexed="13"/>
        <bgColor indexed="64"/>
      </patternFill>
    </fill>
    <fill>
      <patternFill patternType="solid">
        <fgColor indexed="49"/>
        <bgColor indexed="64"/>
      </patternFill>
    </fill>
    <fill>
      <patternFill patternType="solid">
        <fgColor indexed="9"/>
        <bgColor indexed="64"/>
      </patternFill>
    </fill>
    <fill>
      <patternFill patternType="solid">
        <fgColor indexed="8"/>
        <bgColor indexed="64"/>
      </patternFill>
    </fill>
    <fill>
      <patternFill patternType="solid">
        <fgColor indexed="11"/>
        <bgColor indexed="64"/>
      </patternFill>
    </fill>
    <fill>
      <patternFill patternType="solid">
        <fgColor indexed="47"/>
        <bgColor indexed="64"/>
      </patternFill>
    </fill>
    <fill>
      <patternFill patternType="solid">
        <fgColor indexed="40"/>
        <bgColor indexed="64"/>
      </patternFill>
    </fill>
    <fill>
      <patternFill patternType="solid">
        <fgColor indexed="43"/>
        <bgColor indexed="64"/>
      </patternFill>
    </fill>
    <fill>
      <patternFill patternType="solid">
        <fgColor indexed="50"/>
        <bgColor indexed="64"/>
      </patternFill>
    </fill>
    <fill>
      <patternFill patternType="solid">
        <fgColor indexed="45"/>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6"/>
        <bgColor indexed="64"/>
      </patternFill>
    </fill>
    <fill>
      <patternFill patternType="solid">
        <fgColor theme="8" tint="0.39997558519241921"/>
        <bgColor indexed="64"/>
      </patternFill>
    </fill>
    <fill>
      <patternFill patternType="solid">
        <fgColor indexed="23"/>
        <bgColor indexed="64"/>
      </patternFill>
    </fill>
    <fill>
      <patternFill patternType="solid">
        <fgColor indexed="52"/>
        <bgColor indexed="64"/>
      </patternFill>
    </fill>
    <fill>
      <patternFill patternType="solid">
        <fgColor theme="6" tint="0.39997558519241921"/>
        <bgColor indexed="64"/>
      </patternFill>
    </fill>
    <fill>
      <patternFill patternType="solid">
        <fgColor theme="9"/>
        <bgColor indexed="64"/>
      </patternFill>
    </fill>
    <fill>
      <patternFill patternType="solid">
        <fgColor theme="8" tint="0.59999389629810485"/>
        <bgColor indexed="65"/>
      </patternFill>
    </fill>
  </fills>
  <borders count="60">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bottom style="medium">
        <color indexed="64"/>
      </bottom>
      <diagonal/>
    </border>
    <border>
      <left/>
      <right/>
      <top style="medium">
        <color indexed="64"/>
      </top>
      <bottom style="thin">
        <color indexed="64"/>
      </bottom>
      <diagonal/>
    </border>
    <border>
      <left/>
      <right style="medium">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medium">
        <color indexed="64"/>
      </bottom>
      <diagonal/>
    </border>
    <border>
      <left/>
      <right style="thin">
        <color indexed="64"/>
      </right>
      <top style="thin">
        <color indexed="64"/>
      </top>
      <bottom/>
      <diagonal/>
    </border>
    <border>
      <left/>
      <right style="double">
        <color indexed="64"/>
      </right>
      <top/>
      <bottom style="double">
        <color indexed="64"/>
      </bottom>
      <diagonal/>
    </border>
    <border>
      <left style="double">
        <color indexed="64"/>
      </left>
      <right/>
      <top style="double">
        <color indexed="64"/>
      </top>
      <bottom/>
      <diagonal/>
    </border>
    <border>
      <left/>
      <right style="thin">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style="thin">
        <color indexed="64"/>
      </left>
      <right style="double">
        <color indexed="64"/>
      </right>
      <top/>
      <bottom style="double">
        <color indexed="64"/>
      </bottom>
      <diagonal/>
    </border>
    <border>
      <left style="thin">
        <color indexed="64"/>
      </left>
      <right style="double">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diagonal/>
    </border>
    <border>
      <left/>
      <right style="double">
        <color indexed="64"/>
      </right>
      <top style="double">
        <color indexed="64"/>
      </top>
      <bottom style="double">
        <color indexed="64"/>
      </bottom>
      <diagonal/>
    </border>
    <border>
      <left/>
      <right/>
      <top style="double">
        <color indexed="64"/>
      </top>
      <bottom/>
      <diagonal/>
    </border>
    <border>
      <left/>
      <right style="medium">
        <color indexed="64"/>
      </right>
      <top style="medium">
        <color indexed="64"/>
      </top>
      <bottom/>
      <diagonal/>
    </border>
    <border>
      <left/>
      <right style="medium">
        <color indexed="64"/>
      </right>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auto="1"/>
      </right>
      <top style="medium">
        <color auto="1"/>
      </top>
      <bottom style="medium">
        <color auto="1"/>
      </bottom>
      <diagonal/>
    </border>
    <border>
      <left/>
      <right style="thin">
        <color auto="1"/>
      </right>
      <top/>
      <bottom style="medium">
        <color auto="1"/>
      </bottom>
      <diagonal/>
    </border>
    <border>
      <left style="thin">
        <color indexed="64"/>
      </left>
      <right/>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s>
  <cellStyleXfs count="5">
    <xf numFmtId="0" fontId="0" fillId="0" borderId="0"/>
    <xf numFmtId="43" fontId="2" fillId="0" borderId="0" applyFont="0" applyFill="0" applyBorder="0" applyAlignment="0" applyProtection="0"/>
    <xf numFmtId="0" fontId="12" fillId="0" borderId="0"/>
    <xf numFmtId="9" fontId="2" fillId="0" borderId="0" applyFont="0" applyFill="0" applyBorder="0" applyAlignment="0" applyProtection="0"/>
    <xf numFmtId="0" fontId="1" fillId="37" borderId="0" applyNumberFormat="0" applyBorder="0" applyAlignment="0" applyProtection="0"/>
  </cellStyleXfs>
  <cellXfs count="1083">
    <xf numFmtId="0" fontId="0" fillId="0" borderId="0" xfId="0"/>
    <xf numFmtId="0" fontId="0" fillId="2" borderId="0" xfId="0" applyFill="1"/>
    <xf numFmtId="0" fontId="0" fillId="3" borderId="0" xfId="0" applyFill="1"/>
    <xf numFmtId="0" fontId="6" fillId="3" borderId="0" xfId="0" applyFont="1" applyFill="1"/>
    <xf numFmtId="0" fontId="7" fillId="4" borderId="1" xfId="0" applyFont="1" applyFill="1" applyBorder="1" applyAlignment="1">
      <alignment horizontal="center"/>
    </xf>
    <xf numFmtId="0" fontId="7" fillId="3" borderId="0" xfId="0" applyFont="1" applyFill="1" applyAlignment="1">
      <alignment horizontal="center"/>
    </xf>
    <xf numFmtId="0" fontId="7" fillId="4" borderId="3" xfId="0" applyFont="1" applyFill="1" applyBorder="1" applyAlignment="1">
      <alignment horizontal="center"/>
    </xf>
    <xf numFmtId="0" fontId="9" fillId="3" borderId="0" xfId="0" applyFont="1" applyFill="1"/>
    <xf numFmtId="0" fontId="11" fillId="0" borderId="4" xfId="0" applyFont="1" applyBorder="1" applyAlignment="1">
      <alignment horizontal="center"/>
    </xf>
    <xf numFmtId="0" fontId="11" fillId="0" borderId="5" xfId="0" applyFont="1" applyBorder="1" applyAlignment="1">
      <alignment horizontal="center"/>
    </xf>
    <xf numFmtId="0" fontId="12" fillId="3" borderId="0" xfId="0" applyFont="1" applyFill="1" applyAlignment="1">
      <alignment horizontal="left"/>
    </xf>
    <xf numFmtId="0" fontId="0" fillId="3" borderId="0" xfId="0" applyFill="1" applyAlignment="1">
      <alignment horizontal="right"/>
    </xf>
    <xf numFmtId="0" fontId="0" fillId="0" borderId="0" xfId="0" applyAlignment="1">
      <alignment horizontal="center"/>
    </xf>
    <xf numFmtId="0" fontId="0" fillId="0" borderId="0" xfId="0" applyAlignment="1">
      <alignment horizontal="right"/>
    </xf>
    <xf numFmtId="165" fontId="0" fillId="0" borderId="0" xfId="0" applyNumberFormat="1" applyAlignment="1">
      <alignment horizontal="center"/>
    </xf>
    <xf numFmtId="0" fontId="0" fillId="5" borderId="0" xfId="0" applyFill="1"/>
    <xf numFmtId="0" fontId="0" fillId="4" borderId="7" xfId="0" applyFill="1" applyBorder="1"/>
    <xf numFmtId="0" fontId="0" fillId="4" borderId="8" xfId="0" applyFill="1" applyBorder="1"/>
    <xf numFmtId="0" fontId="0" fillId="3" borderId="0" xfId="0" quotePrefix="1" applyFill="1"/>
    <xf numFmtId="2" fontId="0" fillId="3" borderId="0" xfId="0" quotePrefix="1" applyNumberFormat="1" applyFill="1"/>
    <xf numFmtId="0" fontId="11" fillId="4" borderId="0" xfId="0" applyFont="1" applyFill="1" applyAlignment="1">
      <alignment horizontal="center"/>
    </xf>
    <xf numFmtId="0" fontId="0" fillId="3" borderId="0" xfId="0" applyFill="1" applyAlignment="1">
      <alignment horizontal="center"/>
    </xf>
    <xf numFmtId="0" fontId="6" fillId="4" borderId="1" xfId="0" applyFont="1" applyFill="1" applyBorder="1" applyAlignment="1">
      <alignment horizontal="center"/>
    </xf>
    <xf numFmtId="0" fontId="18" fillId="5" borderId="0" xfId="0" applyFont="1" applyFill="1"/>
    <xf numFmtId="0" fontId="18" fillId="5" borderId="0" xfId="0" applyFont="1" applyFill="1" applyAlignment="1">
      <alignment horizontal="center"/>
    </xf>
    <xf numFmtId="0" fontId="0" fillId="4" borderId="0" xfId="0" applyFill="1"/>
    <xf numFmtId="169" fontId="0" fillId="0" borderId="0" xfId="0" applyNumberFormat="1"/>
    <xf numFmtId="169" fontId="0" fillId="4" borderId="9" xfId="0" applyNumberFormat="1" applyFill="1" applyBorder="1"/>
    <xf numFmtId="0" fontId="12" fillId="0" borderId="0" xfId="0" applyFont="1" applyAlignment="1">
      <alignment horizontal="left"/>
    </xf>
    <xf numFmtId="167" fontId="0" fillId="0" borderId="0" xfId="0" applyNumberFormat="1"/>
    <xf numFmtId="1" fontId="0" fillId="0" borderId="0" xfId="0" applyNumberFormat="1"/>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15" fillId="5" borderId="0" xfId="0" applyFont="1" applyFill="1"/>
    <xf numFmtId="0" fontId="6" fillId="0" borderId="0" xfId="0" applyFont="1"/>
    <xf numFmtId="0" fontId="0" fillId="7" borderId="0" xfId="0" applyFill="1"/>
    <xf numFmtId="0" fontId="19" fillId="7" borderId="0" xfId="0" applyFont="1" applyFill="1"/>
    <xf numFmtId="0" fontId="16" fillId="5" borderId="0" xfId="0" applyFont="1" applyFill="1"/>
    <xf numFmtId="0" fontId="6" fillId="5" borderId="0" xfId="0" applyFont="1" applyFill="1"/>
    <xf numFmtId="0" fontId="16" fillId="6" borderId="1" xfId="0" applyFont="1" applyFill="1" applyBorder="1" applyAlignment="1">
      <alignment horizontal="center"/>
    </xf>
    <xf numFmtId="0" fontId="6" fillId="4" borderId="7" xfId="0" applyFont="1" applyFill="1" applyBorder="1"/>
    <xf numFmtId="0" fontId="3" fillId="7" borderId="0" xfId="0" applyFont="1" applyFill="1"/>
    <xf numFmtId="0" fontId="4" fillId="7" borderId="0" xfId="0" applyFont="1" applyFill="1"/>
    <xf numFmtId="0" fontId="5" fillId="7" borderId="0" xfId="0" applyFont="1" applyFill="1" applyAlignment="1">
      <alignment horizontal="left"/>
    </xf>
    <xf numFmtId="0" fontId="6" fillId="7" borderId="0" xfId="0" applyFont="1" applyFill="1"/>
    <xf numFmtId="0" fontId="6" fillId="7" borderId="0" xfId="0" applyFont="1" applyFill="1" applyAlignment="1">
      <alignment horizontal="left"/>
    </xf>
    <xf numFmtId="169" fontId="0" fillId="5" borderId="0" xfId="0" applyNumberFormat="1" applyFill="1"/>
    <xf numFmtId="0" fontId="0" fillId="4" borderId="13" xfId="0" applyFill="1" applyBorder="1"/>
    <xf numFmtId="0" fontId="0" fillId="4" borderId="14" xfId="0" applyFill="1" applyBorder="1"/>
    <xf numFmtId="0" fontId="6" fillId="2" borderId="0" xfId="0" applyFont="1" applyFill="1"/>
    <xf numFmtId="0" fontId="6" fillId="3" borderId="0" xfId="0" applyFont="1" applyFill="1" applyAlignment="1">
      <alignment horizontal="center"/>
    </xf>
    <xf numFmtId="0" fontId="15" fillId="6" borderId="9" xfId="0" applyFont="1" applyFill="1" applyBorder="1"/>
    <xf numFmtId="0" fontId="21" fillId="6" borderId="9" xfId="0" applyFont="1" applyFill="1" applyBorder="1" applyAlignment="1">
      <alignment horizontal="center"/>
    </xf>
    <xf numFmtId="0" fontId="0" fillId="3" borderId="0" xfId="0" applyFill="1" applyAlignment="1">
      <alignment horizontal="left"/>
    </xf>
    <xf numFmtId="0" fontId="21" fillId="6" borderId="9" xfId="0" applyFont="1" applyFill="1" applyBorder="1"/>
    <xf numFmtId="0" fontId="22" fillId="3" borderId="1" xfId="0" applyFont="1" applyFill="1" applyBorder="1" applyAlignment="1">
      <alignment horizontal="left"/>
    </xf>
    <xf numFmtId="0" fontId="22" fillId="3" borderId="0" xfId="0" applyFont="1" applyFill="1" applyAlignment="1">
      <alignment horizontal="center"/>
    </xf>
    <xf numFmtId="0" fontId="21" fillId="3" borderId="0" xfId="0" applyFont="1" applyFill="1" applyAlignment="1">
      <alignment horizontal="center"/>
    </xf>
    <xf numFmtId="0" fontId="28" fillId="4" borderId="7" xfId="0" applyFont="1" applyFill="1" applyBorder="1"/>
    <xf numFmtId="0" fontId="4" fillId="4" borderId="7" xfId="0" applyFont="1" applyFill="1" applyBorder="1"/>
    <xf numFmtId="0" fontId="4" fillId="4" borderId="7" xfId="0" applyFont="1" applyFill="1" applyBorder="1" applyAlignment="1">
      <alignment horizontal="center"/>
    </xf>
    <xf numFmtId="0" fontId="9" fillId="0" borderId="9" xfId="0" applyFont="1" applyBorder="1" applyAlignment="1">
      <alignment horizontal="center"/>
    </xf>
    <xf numFmtId="0" fontId="12" fillId="0" borderId="0" xfId="0" applyFont="1"/>
    <xf numFmtId="169" fontId="16" fillId="0" borderId="0" xfId="0" applyNumberFormat="1" applyFont="1" applyAlignment="1">
      <alignment horizontal="center"/>
    </xf>
    <xf numFmtId="169" fontId="12" fillId="0" borderId="0" xfId="0" applyNumberFormat="1" applyFont="1"/>
    <xf numFmtId="169" fontId="12" fillId="0" borderId="0" xfId="0" applyNumberFormat="1" applyFont="1" applyAlignment="1">
      <alignment horizontal="center"/>
    </xf>
    <xf numFmtId="2" fontId="0" fillId="0" borderId="0" xfId="0" applyNumberFormat="1"/>
    <xf numFmtId="2" fontId="53" fillId="6" borderId="9" xfId="0" applyNumberFormat="1" applyFont="1" applyFill="1" applyBorder="1"/>
    <xf numFmtId="0" fontId="12" fillId="2" borderId="0" xfId="0" applyFont="1" applyFill="1"/>
    <xf numFmtId="0" fontId="12" fillId="6" borderId="6" xfId="0" applyFont="1" applyFill="1" applyBorder="1"/>
    <xf numFmtId="168" fontId="0" fillId="6" borderId="4" xfId="0" applyNumberFormat="1" applyFill="1" applyBorder="1"/>
    <xf numFmtId="2" fontId="0" fillId="6" borderId="4" xfId="0" applyNumberFormat="1" applyFill="1" applyBorder="1"/>
    <xf numFmtId="169" fontId="0" fillId="6" borderId="4" xfId="0" applyNumberFormat="1" applyFill="1" applyBorder="1"/>
    <xf numFmtId="0" fontId="12" fillId="2" borderId="0" xfId="0" applyFont="1" applyFill="1" applyAlignment="1">
      <alignment horizontal="center"/>
    </xf>
    <xf numFmtId="0" fontId="0" fillId="4" borderId="4" xfId="0" applyFill="1" applyBorder="1"/>
    <xf numFmtId="0" fontId="12" fillId="4" borderId="6" xfId="0" applyFont="1" applyFill="1" applyBorder="1"/>
    <xf numFmtId="2" fontId="53" fillId="6" borderId="1" xfId="0" applyNumberFormat="1" applyFont="1" applyFill="1" applyBorder="1" applyAlignment="1">
      <alignment horizontal="center"/>
    </xf>
    <xf numFmtId="168" fontId="0" fillId="4" borderId="4" xfId="0" applyNumberFormat="1" applyFill="1" applyBorder="1"/>
    <xf numFmtId="2" fontId="0" fillId="4" borderId="4" xfId="0" applyNumberFormat="1" applyFill="1" applyBorder="1"/>
    <xf numFmtId="0" fontId="0" fillId="2" borderId="15" xfId="0" applyFill="1" applyBorder="1"/>
    <xf numFmtId="0" fontId="0" fillId="2" borderId="16" xfId="0" applyFill="1" applyBorder="1"/>
    <xf numFmtId="0" fontId="0" fillId="2" borderId="17" xfId="0" applyFill="1" applyBorder="1"/>
    <xf numFmtId="169" fontId="12" fillId="0" borderId="0" xfId="0" applyNumberFormat="1" applyFont="1" applyAlignment="1">
      <alignment horizontal="right"/>
    </xf>
    <xf numFmtId="2" fontId="53" fillId="6" borderId="9" xfId="0" applyNumberFormat="1" applyFont="1" applyFill="1" applyBorder="1" applyAlignment="1">
      <alignment horizontal="right"/>
    </xf>
    <xf numFmtId="0" fontId="12" fillId="8" borderId="9" xfId="0" applyFont="1" applyFill="1" applyBorder="1"/>
    <xf numFmtId="169" fontId="0" fillId="4" borderId="4" xfId="0" applyNumberFormat="1" applyFill="1" applyBorder="1"/>
    <xf numFmtId="0" fontId="53" fillId="6" borderId="4" xfId="0" applyFont="1" applyFill="1" applyBorder="1"/>
    <xf numFmtId="0" fontId="29" fillId="4" borderId="14" xfId="0" applyFont="1" applyFill="1" applyBorder="1"/>
    <xf numFmtId="0" fontId="0" fillId="6" borderId="6" xfId="0" applyFill="1" applyBorder="1"/>
    <xf numFmtId="0" fontId="54" fillId="3" borderId="0" xfId="0" applyFont="1" applyFill="1"/>
    <xf numFmtId="0" fontId="12" fillId="4" borderId="5" xfId="0" applyFont="1" applyFill="1" applyBorder="1" applyAlignment="1">
      <alignment horizontal="right"/>
    </xf>
    <xf numFmtId="0" fontId="0" fillId="0" borderId="9" xfId="0" applyBorder="1"/>
    <xf numFmtId="0" fontId="0" fillId="4" borderId="6" xfId="0" applyFill="1" applyBorder="1"/>
    <xf numFmtId="0" fontId="54" fillId="6" borderId="9" xfId="0" applyFont="1" applyFill="1" applyBorder="1" applyAlignment="1">
      <alignment horizontal="center"/>
    </xf>
    <xf numFmtId="0" fontId="6" fillId="0" borderId="0" xfId="0" quotePrefix="1" applyFont="1"/>
    <xf numFmtId="169" fontId="0" fillId="4" borderId="9" xfId="0" applyNumberFormat="1" applyFill="1" applyBorder="1" applyAlignment="1">
      <alignment horizontal="center"/>
    </xf>
    <xf numFmtId="0" fontId="12" fillId="8" borderId="9" xfId="0" applyFont="1" applyFill="1" applyBorder="1" applyAlignment="1">
      <alignment horizontal="left"/>
    </xf>
    <xf numFmtId="0" fontId="0" fillId="2" borderId="0" xfId="0" applyFill="1" applyAlignment="1">
      <alignment horizontal="left"/>
    </xf>
    <xf numFmtId="0" fontId="30" fillId="2" borderId="0" xfId="0" applyFont="1" applyFill="1" applyAlignment="1">
      <alignment horizontal="left"/>
    </xf>
    <xf numFmtId="0" fontId="55" fillId="2" borderId="0" xfId="0" applyFont="1" applyFill="1" applyAlignment="1">
      <alignment horizontal="left"/>
    </xf>
    <xf numFmtId="0" fontId="11" fillId="2" borderId="0" xfId="0" applyFont="1" applyFill="1" applyAlignment="1">
      <alignment horizontal="center"/>
    </xf>
    <xf numFmtId="0" fontId="54" fillId="2" borderId="0" xfId="0" applyFont="1" applyFill="1" applyAlignment="1">
      <alignment horizontal="center"/>
    </xf>
    <xf numFmtId="0" fontId="55" fillId="4" borderId="7" xfId="0" applyFont="1" applyFill="1" applyBorder="1" applyAlignment="1">
      <alignment horizontal="left"/>
    </xf>
    <xf numFmtId="0" fontId="11" fillId="4" borderId="7" xfId="0" applyFont="1" applyFill="1" applyBorder="1" applyAlignment="1">
      <alignment horizontal="center"/>
    </xf>
    <xf numFmtId="0" fontId="6" fillId="2" borderId="0" xfId="0" applyFont="1" applyFill="1" applyAlignment="1">
      <alignment horizontal="center"/>
    </xf>
    <xf numFmtId="0" fontId="12" fillId="2" borderId="0" xfId="0" applyFont="1" applyFill="1" applyAlignment="1">
      <alignment horizontal="center" vertical="center"/>
    </xf>
    <xf numFmtId="0" fontId="40" fillId="2" borderId="0" xfId="0" applyFont="1" applyFill="1" applyAlignment="1">
      <alignment horizontal="center" vertical="center"/>
    </xf>
    <xf numFmtId="0" fontId="0" fillId="2" borderId="0" xfId="0" applyFill="1" applyAlignment="1">
      <alignment horizontal="center"/>
    </xf>
    <xf numFmtId="0" fontId="12" fillId="4" borderId="4" xfId="0" applyFont="1" applyFill="1" applyBorder="1"/>
    <xf numFmtId="0" fontId="13" fillId="2" borderId="0" xfId="0" quotePrefix="1" applyFont="1" applyFill="1" applyAlignment="1">
      <alignment horizontal="right"/>
    </xf>
    <xf numFmtId="0" fontId="5" fillId="2" borderId="0" xfId="0" applyFont="1" applyFill="1" applyAlignment="1">
      <alignment horizontal="center"/>
    </xf>
    <xf numFmtId="172" fontId="56" fillId="2" borderId="0" xfId="0" applyNumberFormat="1" applyFont="1" applyFill="1"/>
    <xf numFmtId="0" fontId="0" fillId="9" borderId="18" xfId="0" applyFill="1" applyBorder="1"/>
    <xf numFmtId="0" fontId="0" fillId="9" borderId="7" xfId="0" applyFill="1" applyBorder="1"/>
    <xf numFmtId="0" fontId="0" fillId="9" borderId="8" xfId="0" applyFill="1" applyBorder="1"/>
    <xf numFmtId="0" fontId="12" fillId="2" borderId="0" xfId="0" applyFont="1" applyFill="1" applyAlignment="1">
      <alignment horizontal="right"/>
    </xf>
    <xf numFmtId="167" fontId="0" fillId="6" borderId="9" xfId="0" applyNumberFormat="1" applyFill="1" applyBorder="1" applyAlignment="1">
      <alignment horizontal="center"/>
    </xf>
    <xf numFmtId="0" fontId="12" fillId="4" borderId="4" xfId="0" applyFont="1" applyFill="1" applyBorder="1" applyAlignment="1">
      <alignment horizontal="left"/>
    </xf>
    <xf numFmtId="0" fontId="0" fillId="4" borderId="5" xfId="0" applyFill="1" applyBorder="1" applyAlignment="1">
      <alignment horizontal="left"/>
    </xf>
    <xf numFmtId="0" fontId="0" fillId="4" borderId="6" xfId="0" applyFill="1" applyBorder="1" applyAlignment="1">
      <alignment horizontal="left"/>
    </xf>
    <xf numFmtId="174" fontId="6" fillId="6" borderId="1" xfId="0" applyNumberFormat="1" applyFont="1" applyFill="1" applyBorder="1" applyAlignment="1">
      <alignment horizontal="center"/>
    </xf>
    <xf numFmtId="173" fontId="6" fillId="6" borderId="1" xfId="0" applyNumberFormat="1" applyFont="1" applyFill="1" applyBorder="1"/>
    <xf numFmtId="0" fontId="53" fillId="2" borderId="0" xfId="0" applyFont="1" applyFill="1" applyAlignment="1">
      <alignment horizontal="center"/>
    </xf>
    <xf numFmtId="0" fontId="53" fillId="6" borderId="1" xfId="0" applyFont="1" applyFill="1" applyBorder="1" applyAlignment="1">
      <alignment horizontal="center"/>
    </xf>
    <xf numFmtId="0" fontId="12" fillId="0" borderId="9" xfId="0" applyFont="1" applyBorder="1" applyAlignment="1">
      <alignment horizontal="left"/>
    </xf>
    <xf numFmtId="0" fontId="12" fillId="0" borderId="9" xfId="0" applyFont="1" applyBorder="1"/>
    <xf numFmtId="0" fontId="12" fillId="2" borderId="0" xfId="0" applyFont="1" applyFill="1" applyAlignment="1">
      <alignment horizontal="left"/>
    </xf>
    <xf numFmtId="0" fontId="58" fillId="2" borderId="0" xfId="0" applyFont="1" applyFill="1" applyAlignment="1">
      <alignment horizontal="center"/>
    </xf>
    <xf numFmtId="0" fontId="40" fillId="0" borderId="9" xfId="0" applyFont="1" applyBorder="1" applyAlignment="1">
      <alignment horizontal="left"/>
    </xf>
    <xf numFmtId="0" fontId="40" fillId="0" borderId="9" xfId="0" applyFont="1" applyBorder="1"/>
    <xf numFmtId="172" fontId="0" fillId="2" borderId="0" xfId="0" applyNumberFormat="1" applyFill="1"/>
    <xf numFmtId="2" fontId="0" fillId="4" borderId="9" xfId="0" applyNumberFormat="1" applyFill="1" applyBorder="1"/>
    <xf numFmtId="174" fontId="53" fillId="6" borderId="1" xfId="0" applyNumberFormat="1" applyFont="1" applyFill="1" applyBorder="1" applyAlignment="1">
      <alignment horizontal="center" vertical="center"/>
    </xf>
    <xf numFmtId="173" fontId="59" fillId="6" borderId="1" xfId="0" applyNumberFormat="1" applyFont="1" applyFill="1" applyBorder="1" applyAlignment="1">
      <alignment horizontal="center" vertical="center"/>
    </xf>
    <xf numFmtId="0" fontId="0" fillId="6" borderId="8" xfId="0" applyFill="1" applyBorder="1"/>
    <xf numFmtId="174" fontId="0" fillId="6" borderId="1" xfId="0" applyNumberFormat="1" applyFill="1" applyBorder="1"/>
    <xf numFmtId="173" fontId="0" fillId="6" borderId="1" xfId="0" applyNumberFormat="1" applyFill="1" applyBorder="1"/>
    <xf numFmtId="0" fontId="58" fillId="0" borderId="9" xfId="0" applyFont="1" applyBorder="1" applyAlignment="1">
      <alignment horizontal="center"/>
    </xf>
    <xf numFmtId="0" fontId="53" fillId="6" borderId="9" xfId="0" applyFont="1" applyFill="1" applyBorder="1" applyAlignment="1">
      <alignment horizontal="center"/>
    </xf>
    <xf numFmtId="0" fontId="12" fillId="2" borderId="0" xfId="0" quotePrefix="1" applyFont="1" applyFill="1"/>
    <xf numFmtId="177" fontId="0" fillId="6" borderId="9" xfId="0" applyNumberFormat="1" applyFill="1" applyBorder="1" applyAlignment="1">
      <alignment horizontal="center"/>
    </xf>
    <xf numFmtId="174" fontId="0" fillId="2" borderId="0" xfId="0" applyNumberFormat="1" applyFill="1"/>
    <xf numFmtId="165" fontId="0" fillId="0" borderId="0" xfId="0" applyNumberFormat="1" applyAlignment="1">
      <alignment horizontal="right"/>
    </xf>
    <xf numFmtId="0" fontId="0" fillId="2" borderId="0" xfId="0" quotePrefix="1" applyFill="1"/>
    <xf numFmtId="43" fontId="12" fillId="0" borderId="0" xfId="1" applyFont="1" applyFill="1" applyBorder="1"/>
    <xf numFmtId="43" fontId="20" fillId="4" borderId="5" xfId="1" applyFont="1" applyFill="1" applyBorder="1"/>
    <xf numFmtId="43" fontId="20" fillId="4" borderId="4" xfId="1" applyFont="1" applyFill="1" applyBorder="1"/>
    <xf numFmtId="170" fontId="20" fillId="6" borderId="4" xfId="1" applyNumberFormat="1" applyFont="1" applyFill="1" applyBorder="1"/>
    <xf numFmtId="0" fontId="5" fillId="4" borderId="8" xfId="0" applyFont="1" applyFill="1" applyBorder="1" applyAlignment="1">
      <alignment horizontal="center"/>
    </xf>
    <xf numFmtId="0" fontId="53" fillId="6" borderId="8" xfId="0" applyFont="1" applyFill="1" applyBorder="1"/>
    <xf numFmtId="0" fontId="6" fillId="2" borderId="0" xfId="0" applyFont="1" applyFill="1" applyAlignment="1">
      <alignment horizontal="right"/>
    </xf>
    <xf numFmtId="0" fontId="12" fillId="6" borderId="6" xfId="0" applyFont="1" applyFill="1" applyBorder="1" applyAlignment="1">
      <alignment horizontal="center"/>
    </xf>
    <xf numFmtId="0" fontId="15" fillId="0" borderId="0" xfId="0" applyFont="1"/>
    <xf numFmtId="0" fontId="6" fillId="5" borderId="8" xfId="0" quotePrefix="1" applyFont="1" applyFill="1" applyBorder="1"/>
    <xf numFmtId="169" fontId="6" fillId="5" borderId="18" xfId="0" applyNumberFormat="1" applyFont="1" applyFill="1" applyBorder="1"/>
    <xf numFmtId="169" fontId="6" fillId="5" borderId="7" xfId="0" applyNumberFormat="1" applyFont="1" applyFill="1" applyBorder="1" applyAlignment="1">
      <alignment horizontal="center"/>
    </xf>
    <xf numFmtId="0" fontId="6" fillId="5" borderId="8" xfId="0" applyFont="1" applyFill="1" applyBorder="1"/>
    <xf numFmtId="0" fontId="41" fillId="5" borderId="8" xfId="0" quotePrefix="1" applyFont="1" applyFill="1" applyBorder="1"/>
    <xf numFmtId="0" fontId="16" fillId="4" borderId="7" xfId="0" applyFont="1" applyFill="1" applyBorder="1"/>
    <xf numFmtId="1" fontId="16" fillId="6" borderId="1" xfId="0" applyNumberFormat="1" applyFont="1" applyFill="1" applyBorder="1" applyAlignment="1">
      <alignment horizontal="center"/>
    </xf>
    <xf numFmtId="0" fontId="16" fillId="4" borderId="14" xfId="0" quotePrefix="1" applyFont="1" applyFill="1" applyBorder="1"/>
    <xf numFmtId="0" fontId="16" fillId="4" borderId="14" xfId="0" applyFont="1" applyFill="1" applyBorder="1"/>
    <xf numFmtId="0" fontId="16" fillId="4" borderId="21" xfId="0" applyFont="1" applyFill="1" applyBorder="1"/>
    <xf numFmtId="0" fontId="0" fillId="5" borderId="8" xfId="0" applyFill="1" applyBorder="1"/>
    <xf numFmtId="169" fontId="16" fillId="6" borderId="1" xfId="0" applyNumberFormat="1" applyFont="1" applyFill="1" applyBorder="1" applyAlignment="1">
      <alignment horizontal="center"/>
    </xf>
    <xf numFmtId="0" fontId="44" fillId="4" borderId="18" xfId="0" quotePrefix="1" applyFont="1" applyFill="1" applyBorder="1"/>
    <xf numFmtId="0" fontId="16" fillId="4" borderId="8" xfId="0" applyFont="1" applyFill="1" applyBorder="1"/>
    <xf numFmtId="0" fontId="6" fillId="4" borderId="18" xfId="0" applyFont="1" applyFill="1" applyBorder="1"/>
    <xf numFmtId="0" fontId="12" fillId="4" borderId="7" xfId="0" applyFont="1" applyFill="1" applyBorder="1"/>
    <xf numFmtId="0" fontId="12" fillId="4" borderId="8" xfId="0" applyFont="1" applyFill="1" applyBorder="1"/>
    <xf numFmtId="0" fontId="6" fillId="6" borderId="8" xfId="0" applyFont="1" applyFill="1" applyBorder="1"/>
    <xf numFmtId="0" fontId="43" fillId="5" borderId="18" xfId="0" applyFont="1" applyFill="1" applyBorder="1"/>
    <xf numFmtId="0" fontId="43" fillId="5" borderId="8" xfId="0" applyFont="1" applyFill="1" applyBorder="1"/>
    <xf numFmtId="0" fontId="47" fillId="0" borderId="0" xfId="0" applyFont="1"/>
    <xf numFmtId="169" fontId="6" fillId="5" borderId="18" xfId="0" applyNumberFormat="1" applyFont="1" applyFill="1" applyBorder="1" applyAlignment="1">
      <alignment horizontal="right"/>
    </xf>
    <xf numFmtId="0" fontId="43" fillId="5" borderId="8" xfId="0" quotePrefix="1" applyFont="1" applyFill="1" applyBorder="1"/>
    <xf numFmtId="0" fontId="43" fillId="0" borderId="0" xfId="0" quotePrefix="1" applyFont="1"/>
    <xf numFmtId="0" fontId="6" fillId="10" borderId="18" xfId="0" applyFont="1" applyFill="1" applyBorder="1"/>
    <xf numFmtId="0" fontId="0" fillId="10" borderId="8" xfId="0" applyFill="1" applyBorder="1"/>
    <xf numFmtId="0" fontId="6" fillId="7" borderId="8" xfId="0" applyFont="1" applyFill="1" applyBorder="1"/>
    <xf numFmtId="0" fontId="48" fillId="0" borderId="0" xfId="0" applyFont="1"/>
    <xf numFmtId="169" fontId="6" fillId="0" borderId="0" xfId="0" applyNumberFormat="1" applyFont="1"/>
    <xf numFmtId="0" fontId="6" fillId="10" borderId="8" xfId="0" applyFont="1" applyFill="1" applyBorder="1"/>
    <xf numFmtId="0" fontId="43" fillId="5" borderId="18" xfId="0" applyFont="1" applyFill="1" applyBorder="1" applyAlignment="1">
      <alignment horizontal="center"/>
    </xf>
    <xf numFmtId="0" fontId="6" fillId="5" borderId="7" xfId="0" applyFont="1" applyFill="1" applyBorder="1"/>
    <xf numFmtId="169" fontId="6" fillId="5" borderId="18" xfId="0" applyNumberFormat="1" applyFont="1" applyFill="1" applyBorder="1" applyAlignment="1">
      <alignment horizontal="center"/>
    </xf>
    <xf numFmtId="0" fontId="43" fillId="5" borderId="8" xfId="0" quotePrefix="1" applyFont="1" applyFill="1" applyBorder="1" applyAlignment="1">
      <alignment horizontal="left"/>
    </xf>
    <xf numFmtId="0" fontId="43" fillId="0" borderId="0" xfId="0" quotePrefix="1" applyFont="1" applyAlignment="1">
      <alignment horizontal="left"/>
    </xf>
    <xf numFmtId="0" fontId="0" fillId="5" borderId="7" xfId="0" applyFill="1" applyBorder="1"/>
    <xf numFmtId="169" fontId="16" fillId="5" borderId="18" xfId="0" applyNumberFormat="1" applyFont="1" applyFill="1" applyBorder="1"/>
    <xf numFmtId="0" fontId="16" fillId="5" borderId="7" xfId="0" quotePrefix="1" applyFont="1" applyFill="1" applyBorder="1"/>
    <xf numFmtId="0" fontId="16" fillId="5" borderId="8" xfId="0" quotePrefix="1" applyFont="1" applyFill="1" applyBorder="1"/>
    <xf numFmtId="0" fontId="16" fillId="5" borderId="8" xfId="0" applyFont="1" applyFill="1" applyBorder="1"/>
    <xf numFmtId="0" fontId="49" fillId="5" borderId="7" xfId="0" quotePrefix="1" applyFont="1" applyFill="1" applyBorder="1"/>
    <xf numFmtId="0" fontId="15" fillId="5" borderId="8" xfId="0" applyFont="1" applyFill="1" applyBorder="1"/>
    <xf numFmtId="0" fontId="16" fillId="6" borderId="18" xfId="0" applyFont="1" applyFill="1" applyBorder="1"/>
    <xf numFmtId="0" fontId="16" fillId="6" borderId="8" xfId="0" applyFont="1" applyFill="1" applyBorder="1"/>
    <xf numFmtId="0" fontId="16" fillId="6" borderId="18" xfId="0" applyFont="1" applyFill="1" applyBorder="1" applyAlignment="1">
      <alignment horizontal="center"/>
    </xf>
    <xf numFmtId="0" fontId="43" fillId="6" borderId="18" xfId="0" applyFont="1" applyFill="1" applyBorder="1"/>
    <xf numFmtId="169" fontId="16" fillId="6" borderId="22" xfId="0" applyNumberFormat="1" applyFont="1" applyFill="1" applyBorder="1" applyAlignment="1">
      <alignment horizontal="center"/>
    </xf>
    <xf numFmtId="169" fontId="16" fillId="6" borderId="5" xfId="0" applyNumberFormat="1" applyFont="1" applyFill="1" applyBorder="1" applyAlignment="1">
      <alignment horizontal="center"/>
    </xf>
    <xf numFmtId="169" fontId="16" fillId="6" borderId="14" xfId="0" applyNumberFormat="1" applyFont="1" applyFill="1" applyBorder="1" applyAlignment="1">
      <alignment horizontal="center"/>
    </xf>
    <xf numFmtId="0" fontId="6" fillId="4" borderId="1" xfId="0" applyFont="1" applyFill="1" applyBorder="1"/>
    <xf numFmtId="0" fontId="5" fillId="4" borderId="18" xfId="0" applyFont="1" applyFill="1" applyBorder="1" applyAlignment="1">
      <alignment horizontal="left"/>
    </xf>
    <xf numFmtId="170" fontId="6" fillId="5" borderId="18" xfId="1" applyNumberFormat="1" applyFont="1" applyFill="1" applyBorder="1" applyAlignment="1">
      <alignment horizontal="center"/>
    </xf>
    <xf numFmtId="2" fontId="6" fillId="5" borderId="7" xfId="0" applyNumberFormat="1" applyFont="1" applyFill="1" applyBorder="1" applyAlignment="1">
      <alignment horizontal="center"/>
    </xf>
    <xf numFmtId="2" fontId="6" fillId="5" borderId="18" xfId="0" applyNumberFormat="1" applyFont="1" applyFill="1" applyBorder="1" applyAlignment="1">
      <alignment horizontal="right"/>
    </xf>
    <xf numFmtId="43" fontId="6" fillId="6" borderId="7" xfId="1" applyFont="1" applyFill="1" applyBorder="1"/>
    <xf numFmtId="2" fontId="16" fillId="6" borderId="7" xfId="0" applyNumberFormat="1" applyFont="1" applyFill="1" applyBorder="1" applyAlignment="1">
      <alignment horizontal="right"/>
    </xf>
    <xf numFmtId="2" fontId="16" fillId="6" borderId="1" xfId="0" applyNumberFormat="1" applyFont="1" applyFill="1" applyBorder="1" applyAlignment="1">
      <alignment horizontal="center"/>
    </xf>
    <xf numFmtId="43" fontId="6" fillId="5" borderId="18" xfId="0" applyNumberFormat="1" applyFont="1" applyFill="1" applyBorder="1"/>
    <xf numFmtId="39" fontId="6" fillId="5" borderId="18" xfId="0" applyNumberFormat="1" applyFont="1" applyFill="1" applyBorder="1"/>
    <xf numFmtId="39" fontId="6" fillId="5" borderId="7" xfId="0" applyNumberFormat="1" applyFont="1" applyFill="1" applyBorder="1"/>
    <xf numFmtId="43" fontId="6" fillId="7" borderId="7" xfId="1" applyFont="1" applyFill="1" applyBorder="1"/>
    <xf numFmtId="179" fontId="6" fillId="6" borderId="1" xfId="0" applyNumberFormat="1" applyFont="1" applyFill="1" applyBorder="1" applyAlignment="1">
      <alignment horizontal="center"/>
    </xf>
    <xf numFmtId="0" fontId="6" fillId="6" borderId="21" xfId="0" applyFont="1" applyFill="1" applyBorder="1"/>
    <xf numFmtId="2" fontId="6" fillId="6" borderId="14" xfId="0" applyNumberFormat="1" applyFont="1" applyFill="1" applyBorder="1" applyAlignment="1">
      <alignment horizontal="center"/>
    </xf>
    <xf numFmtId="2" fontId="6" fillId="6" borderId="0" xfId="1" applyNumberFormat="1" applyFont="1" applyFill="1" applyBorder="1" applyAlignment="1">
      <alignment horizontal="center"/>
    </xf>
    <xf numFmtId="0" fontId="6" fillId="6" borderId="23" xfId="0" applyFont="1" applyFill="1" applyBorder="1"/>
    <xf numFmtId="0" fontId="16" fillId="6" borderId="24" xfId="0" applyFont="1" applyFill="1" applyBorder="1" applyAlignment="1">
      <alignment horizontal="center"/>
    </xf>
    <xf numFmtId="2" fontId="16" fillId="6" borderId="22" xfId="0" applyNumberFormat="1" applyFont="1" applyFill="1" applyBorder="1" applyAlignment="1">
      <alignment horizontal="center"/>
    </xf>
    <xf numFmtId="0" fontId="16" fillId="6" borderId="25" xfId="0" applyFont="1" applyFill="1" applyBorder="1"/>
    <xf numFmtId="2" fontId="53" fillId="6" borderId="22" xfId="0" applyNumberFormat="1" applyFont="1" applyFill="1" applyBorder="1" applyAlignment="1">
      <alignment horizontal="center"/>
    </xf>
    <xf numFmtId="0" fontId="41" fillId="6" borderId="26" xfId="0" applyFont="1" applyFill="1" applyBorder="1" applyAlignment="1">
      <alignment horizontal="center"/>
    </xf>
    <xf numFmtId="0" fontId="43" fillId="6" borderId="13" xfId="0" applyFont="1" applyFill="1" applyBorder="1" applyAlignment="1">
      <alignment horizontal="center"/>
    </xf>
    <xf numFmtId="0" fontId="41" fillId="0" borderId="1" xfId="0" applyFont="1" applyBorder="1"/>
    <xf numFmtId="0" fontId="54" fillId="0" borderId="0" xfId="0" applyFont="1" applyAlignment="1">
      <alignment horizontal="center"/>
    </xf>
    <xf numFmtId="0" fontId="54" fillId="0" borderId="0" xfId="0" applyFont="1"/>
    <xf numFmtId="2" fontId="8" fillId="5" borderId="9" xfId="0" applyNumberFormat="1" applyFont="1" applyFill="1" applyBorder="1"/>
    <xf numFmtId="0" fontId="53" fillId="6" borderId="1" xfId="0" applyFont="1" applyFill="1" applyBorder="1" applyAlignment="1">
      <alignment horizontal="center" vertical="center"/>
    </xf>
    <xf numFmtId="0" fontId="12" fillId="5" borderId="5" xfId="0" applyFont="1" applyFill="1" applyBorder="1" applyAlignment="1">
      <alignment horizontal="center"/>
    </xf>
    <xf numFmtId="171" fontId="57" fillId="5" borderId="1" xfId="0" applyNumberFormat="1" applyFont="1" applyFill="1" applyBorder="1" applyAlignment="1">
      <alignment horizontal="center" vertical="center"/>
    </xf>
    <xf numFmtId="171" fontId="57" fillId="5" borderId="1" xfId="0" applyNumberFormat="1" applyFont="1" applyFill="1" applyBorder="1" applyAlignment="1">
      <alignment horizontal="center"/>
    </xf>
    <xf numFmtId="0" fontId="61" fillId="2" borderId="0" xfId="0" applyFont="1" applyFill="1"/>
    <xf numFmtId="0" fontId="52" fillId="7" borderId="0" xfId="0" applyFont="1" applyFill="1" applyAlignment="1">
      <alignment horizontal="center"/>
    </xf>
    <xf numFmtId="15" fontId="7" fillId="4" borderId="1" xfId="0" applyNumberFormat="1" applyFont="1" applyFill="1" applyBorder="1" applyAlignment="1">
      <alignment horizontal="center"/>
    </xf>
    <xf numFmtId="0" fontId="35" fillId="2" borderId="0" xfId="0" applyFont="1" applyFill="1" applyAlignment="1">
      <alignment horizontal="center"/>
    </xf>
    <xf numFmtId="0" fontId="35" fillId="2" borderId="0" xfId="0" applyFont="1" applyFill="1"/>
    <xf numFmtId="0" fontId="35" fillId="2" borderId="0" xfId="0" quotePrefix="1" applyFont="1" applyFill="1"/>
    <xf numFmtId="0" fontId="33" fillId="2" borderId="0" xfId="0" applyFont="1" applyFill="1"/>
    <xf numFmtId="0" fontId="29" fillId="2" borderId="0" xfId="0" applyFont="1" applyFill="1"/>
    <xf numFmtId="166" fontId="10" fillId="2" borderId="0" xfId="0" applyNumberFormat="1" applyFont="1" applyFill="1" applyAlignment="1">
      <alignment horizontal="center"/>
    </xf>
    <xf numFmtId="0" fontId="10" fillId="2" borderId="0" xfId="0" applyFont="1" applyFill="1"/>
    <xf numFmtId="169" fontId="10" fillId="2" borderId="0" xfId="0" applyNumberFormat="1" applyFont="1" applyFill="1" applyAlignment="1">
      <alignment horizontal="center"/>
    </xf>
    <xf numFmtId="39" fontId="10" fillId="2" borderId="0" xfId="0" applyNumberFormat="1" applyFont="1" applyFill="1"/>
    <xf numFmtId="169" fontId="10" fillId="2" borderId="0" xfId="0" applyNumberFormat="1" applyFont="1" applyFill="1"/>
    <xf numFmtId="0" fontId="42" fillId="2" borderId="0" xfId="0" applyFont="1" applyFill="1"/>
    <xf numFmtId="0" fontId="34" fillId="2" borderId="0" xfId="0" applyFont="1" applyFill="1" applyAlignment="1">
      <alignment horizontal="center"/>
    </xf>
    <xf numFmtId="0" fontId="5" fillId="2" borderId="0" xfId="0" applyFont="1" applyFill="1"/>
    <xf numFmtId="4" fontId="34" fillId="5" borderId="9" xfId="0" applyNumberFormat="1" applyFont="1" applyFill="1" applyBorder="1" applyAlignment="1">
      <alignment horizontal="center"/>
    </xf>
    <xf numFmtId="169" fontId="8" fillId="5" borderId="9" xfId="0" applyNumberFormat="1" applyFont="1" applyFill="1" applyBorder="1" applyAlignment="1">
      <alignment horizontal="right"/>
    </xf>
    <xf numFmtId="0" fontId="0" fillId="0" borderId="9" xfId="0" applyBorder="1" applyAlignment="1">
      <alignment horizontal="center"/>
    </xf>
    <xf numFmtId="180" fontId="0" fillId="0" borderId="9" xfId="0" applyNumberFormat="1" applyBorder="1" applyAlignment="1">
      <alignment horizontal="center"/>
    </xf>
    <xf numFmtId="0" fontId="67" fillId="3" borderId="0" xfId="0" applyFont="1" applyFill="1"/>
    <xf numFmtId="0" fontId="68" fillId="3" borderId="0" xfId="0" applyFont="1" applyFill="1"/>
    <xf numFmtId="0" fontId="68" fillId="4" borderId="14" xfId="0" applyFont="1" applyFill="1" applyBorder="1"/>
    <xf numFmtId="0" fontId="6" fillId="2" borderId="18" xfId="0" applyFont="1" applyFill="1" applyBorder="1" applyAlignment="1">
      <alignment horizontal="left"/>
    </xf>
    <xf numFmtId="0" fontId="6" fillId="2" borderId="7" xfId="0" applyFont="1" applyFill="1" applyBorder="1"/>
    <xf numFmtId="0" fontId="46" fillId="2" borderId="7" xfId="0" applyFont="1" applyFill="1" applyBorder="1"/>
    <xf numFmtId="0" fontId="6" fillId="2" borderId="7" xfId="0" applyFont="1" applyFill="1" applyBorder="1" applyAlignment="1">
      <alignment horizontal="center"/>
    </xf>
    <xf numFmtId="0" fontId="0" fillId="2" borderId="7" xfId="0" applyFill="1" applyBorder="1"/>
    <xf numFmtId="0" fontId="0" fillId="2" borderId="8" xfId="0" applyFill="1" applyBorder="1"/>
    <xf numFmtId="15" fontId="0" fillId="0" borderId="9" xfId="0" applyNumberFormat="1" applyBorder="1" applyAlignment="1">
      <alignment horizontal="center"/>
    </xf>
    <xf numFmtId="0" fontId="0" fillId="0" borderId="12" xfId="0" applyBorder="1" applyAlignment="1">
      <alignment horizontal="center"/>
    </xf>
    <xf numFmtId="180" fontId="0" fillId="0" borderId="12" xfId="0" applyNumberFormat="1" applyBorder="1" applyAlignment="1">
      <alignment horizontal="center"/>
    </xf>
    <xf numFmtId="0" fontId="6" fillId="3" borderId="1" xfId="0" applyFont="1" applyFill="1" applyBorder="1" applyAlignment="1">
      <alignment horizontal="center" vertical="top" wrapText="1"/>
    </xf>
    <xf numFmtId="0" fontId="6" fillId="3" borderId="8" xfId="0" applyFont="1" applyFill="1" applyBorder="1" applyAlignment="1">
      <alignment horizontal="center" wrapText="1"/>
    </xf>
    <xf numFmtId="0" fontId="6" fillId="3" borderId="8" xfId="0" applyFont="1" applyFill="1" applyBorder="1" applyAlignment="1">
      <alignment horizontal="center" vertical="top" wrapText="1"/>
    </xf>
    <xf numFmtId="0" fontId="8" fillId="2" borderId="0" xfId="0" applyFont="1" applyFill="1"/>
    <xf numFmtId="0" fontId="5" fillId="8" borderId="5" xfId="2" applyFont="1" applyFill="1" applyBorder="1" applyAlignment="1">
      <alignment horizontal="center" vertical="center" wrapText="1"/>
    </xf>
    <xf numFmtId="167" fontId="5" fillId="8" borderId="5" xfId="2" applyNumberFormat="1" applyFont="1" applyFill="1" applyBorder="1" applyAlignment="1">
      <alignment horizontal="center" vertical="center" wrapText="1"/>
    </xf>
    <xf numFmtId="0" fontId="5" fillId="8" borderId="6" xfId="2" applyFont="1" applyFill="1" applyBorder="1" applyAlignment="1">
      <alignment horizontal="center" vertical="center" wrapText="1"/>
    </xf>
    <xf numFmtId="0" fontId="6" fillId="8" borderId="28" xfId="2" applyFont="1" applyFill="1" applyBorder="1" applyAlignment="1">
      <alignment horizontal="center" vertical="center"/>
    </xf>
    <xf numFmtId="0" fontId="6" fillId="8" borderId="28" xfId="2" applyFont="1" applyFill="1" applyBorder="1" applyAlignment="1">
      <alignment horizontal="center" vertical="center" wrapText="1"/>
    </xf>
    <xf numFmtId="167" fontId="6" fillId="8" borderId="28" xfId="2" applyNumberFormat="1" applyFont="1" applyFill="1" applyBorder="1" applyAlignment="1">
      <alignment horizontal="center" vertical="center"/>
    </xf>
    <xf numFmtId="0" fontId="12" fillId="8" borderId="15" xfId="2" applyFill="1" applyBorder="1"/>
    <xf numFmtId="2" fontId="70" fillId="8" borderId="0" xfId="2" applyNumberFormat="1" applyFont="1" applyFill="1" applyAlignment="1">
      <alignment horizontal="center"/>
    </xf>
    <xf numFmtId="0" fontId="12" fillId="8" borderId="16" xfId="2" applyFill="1" applyBorder="1" applyAlignment="1">
      <alignment horizontal="center"/>
    </xf>
    <xf numFmtId="0" fontId="12" fillId="8" borderId="16" xfId="2" applyFill="1" applyBorder="1"/>
    <xf numFmtId="166" fontId="12" fillId="8" borderId="16" xfId="2" applyNumberFormat="1" applyFill="1" applyBorder="1"/>
    <xf numFmtId="167" fontId="12" fillId="8" borderId="16" xfId="2" applyNumberFormat="1" applyFill="1" applyBorder="1" applyAlignment="1">
      <alignment horizontal="center"/>
    </xf>
    <xf numFmtId="2" fontId="12" fillId="8" borderId="16" xfId="2" applyNumberFormat="1" applyFill="1" applyBorder="1"/>
    <xf numFmtId="0" fontId="12" fillId="8" borderId="17" xfId="2" applyFill="1" applyBorder="1"/>
    <xf numFmtId="0" fontId="10" fillId="11" borderId="0" xfId="0" applyFont="1" applyFill="1" applyAlignment="1">
      <alignment horizontal="left" vertical="center"/>
    </xf>
    <xf numFmtId="0" fontId="0" fillId="0" borderId="0" xfId="0" applyAlignment="1">
      <alignment horizontal="left" vertical="center"/>
    </xf>
    <xf numFmtId="0" fontId="0" fillId="9" borderId="0" xfId="0" applyFill="1" applyAlignment="1">
      <alignment horizontal="left" vertical="center"/>
    </xf>
    <xf numFmtId="0" fontId="0" fillId="8" borderId="0" xfId="0" applyFill="1" applyAlignment="1">
      <alignment horizontal="left" vertical="center"/>
    </xf>
    <xf numFmtId="0" fontId="0" fillId="9" borderId="0" xfId="0" applyFill="1" applyAlignment="1">
      <alignment horizontal="center" vertical="center"/>
    </xf>
    <xf numFmtId="0" fontId="72" fillId="12" borderId="0" xfId="0" applyFont="1" applyFill="1" applyAlignment="1">
      <alignment horizontal="left" vertical="center"/>
    </xf>
    <xf numFmtId="0" fontId="72" fillId="12" borderId="0" xfId="0" applyFont="1" applyFill="1" applyAlignment="1">
      <alignment horizontal="center" vertical="center"/>
    </xf>
    <xf numFmtId="0" fontId="71" fillId="12" borderId="0" xfId="0" applyFont="1" applyFill="1" applyAlignment="1">
      <alignment horizontal="left" vertical="center"/>
    </xf>
    <xf numFmtId="0" fontId="12" fillId="12" borderId="0" xfId="0" applyFont="1" applyFill="1" applyAlignment="1">
      <alignment horizontal="left" vertical="center"/>
    </xf>
    <xf numFmtId="2" fontId="12" fillId="12" borderId="0" xfId="0" applyNumberFormat="1" applyFont="1" applyFill="1" applyAlignment="1">
      <alignment horizontal="left" vertical="center"/>
    </xf>
    <xf numFmtId="169" fontId="0" fillId="0" borderId="0" xfId="0" applyNumberFormat="1" applyAlignment="1">
      <alignment horizontal="center"/>
    </xf>
    <xf numFmtId="0" fontId="0" fillId="12" borderId="0" xfId="0" applyFill="1" applyAlignment="1">
      <alignment horizontal="left" vertical="center"/>
    </xf>
    <xf numFmtId="0" fontId="0" fillId="12" borderId="0" xfId="0" applyFill="1" applyAlignment="1">
      <alignment horizontal="center" vertical="center"/>
    </xf>
    <xf numFmtId="0" fontId="73" fillId="12" borderId="0" xfId="0" applyFont="1" applyFill="1" applyAlignment="1">
      <alignment horizontal="left" vertical="center"/>
    </xf>
    <xf numFmtId="0" fontId="73" fillId="12" borderId="0" xfId="0" applyFont="1" applyFill="1" applyAlignment="1">
      <alignment horizontal="center" vertical="center"/>
    </xf>
    <xf numFmtId="0" fontId="74" fillId="12" borderId="0" xfId="0" applyFont="1" applyFill="1" applyAlignment="1">
      <alignment horizontal="left" vertical="center"/>
    </xf>
    <xf numFmtId="0" fontId="31" fillId="12" borderId="0" xfId="0" applyFont="1" applyFill="1" applyAlignment="1">
      <alignment horizontal="left" vertical="center"/>
    </xf>
    <xf numFmtId="0" fontId="75" fillId="12" borderId="0" xfId="0" applyFont="1" applyFill="1" applyAlignment="1">
      <alignment horizontal="center" vertical="center"/>
    </xf>
    <xf numFmtId="0" fontId="75" fillId="12" borderId="0" xfId="0" applyFont="1" applyFill="1" applyAlignment="1">
      <alignment horizontal="left" vertical="center"/>
    </xf>
    <xf numFmtId="0" fontId="76" fillId="6" borderId="6" xfId="0" applyFont="1" applyFill="1" applyBorder="1" applyAlignment="1">
      <alignment horizontal="left" vertical="center"/>
    </xf>
    <xf numFmtId="0" fontId="0" fillId="12" borderId="0" xfId="0" applyFill="1"/>
    <xf numFmtId="0" fontId="0" fillId="12" borderId="0" xfId="0" applyFill="1" applyAlignment="1">
      <alignment horizontal="center"/>
    </xf>
    <xf numFmtId="0" fontId="75" fillId="5" borderId="4" xfId="0" applyFont="1" applyFill="1" applyBorder="1" applyAlignment="1">
      <alignment horizontal="center" vertical="center"/>
    </xf>
    <xf numFmtId="0" fontId="75" fillId="5" borderId="6" xfId="0" applyFont="1" applyFill="1" applyBorder="1" applyAlignment="1">
      <alignment horizontal="left" vertical="center"/>
    </xf>
    <xf numFmtId="0" fontId="10" fillId="8" borderId="4" xfId="0" applyFont="1" applyFill="1" applyBorder="1" applyAlignment="1">
      <alignment horizontal="left" vertical="center"/>
    </xf>
    <xf numFmtId="2" fontId="10" fillId="8" borderId="5" xfId="0" applyNumberFormat="1" applyFont="1" applyFill="1" applyBorder="1" applyAlignment="1">
      <alignment horizontal="left" vertical="center"/>
    </xf>
    <xf numFmtId="0" fontId="10" fillId="8" borderId="6" xfId="0" applyFont="1" applyFill="1" applyBorder="1" applyAlignment="1">
      <alignment horizontal="left" vertical="center"/>
    </xf>
    <xf numFmtId="0" fontId="5" fillId="6" borderId="8" xfId="0" applyFont="1" applyFill="1" applyBorder="1" applyAlignment="1">
      <alignment horizontal="left" vertical="center"/>
    </xf>
    <xf numFmtId="0" fontId="12" fillId="11" borderId="9" xfId="0" applyFont="1" applyFill="1" applyBorder="1" applyAlignment="1">
      <alignment horizontal="left" vertical="center"/>
    </xf>
    <xf numFmtId="0" fontId="12" fillId="11" borderId="9" xfId="0" applyFont="1" applyFill="1" applyBorder="1"/>
    <xf numFmtId="176" fontId="15" fillId="6" borderId="1" xfId="0" applyNumberFormat="1" applyFont="1" applyFill="1" applyBorder="1" applyAlignment="1">
      <alignment horizontal="center"/>
    </xf>
    <xf numFmtId="2" fontId="15" fillId="6" borderId="1" xfId="0" applyNumberFormat="1" applyFont="1" applyFill="1" applyBorder="1" applyAlignment="1">
      <alignment horizontal="center"/>
    </xf>
    <xf numFmtId="0" fontId="0" fillId="9" borderId="0" xfId="0" applyFill="1"/>
    <xf numFmtId="0" fontId="29" fillId="4" borderId="7" xfId="0" applyFont="1" applyFill="1" applyBorder="1"/>
    <xf numFmtId="0" fontId="41" fillId="2" borderId="0" xfId="0" applyFont="1" applyFill="1"/>
    <xf numFmtId="0" fontId="6" fillId="13" borderId="9" xfId="0" applyFont="1" applyFill="1" applyBorder="1"/>
    <xf numFmtId="0" fontId="43" fillId="13" borderId="9" xfId="0" applyFont="1" applyFill="1" applyBorder="1"/>
    <xf numFmtId="0" fontId="16" fillId="2" borderId="0" xfId="0" applyFont="1" applyFill="1" applyAlignment="1">
      <alignment horizontal="center"/>
    </xf>
    <xf numFmtId="2" fontId="12" fillId="0" borderId="0" xfId="0" applyNumberFormat="1" applyFont="1"/>
    <xf numFmtId="0" fontId="10" fillId="11" borderId="0" xfId="0" quotePrefix="1" applyFont="1" applyFill="1" applyAlignment="1">
      <alignment horizontal="left" vertical="center"/>
    </xf>
    <xf numFmtId="0" fontId="10" fillId="11" borderId="0" xfId="0" applyFont="1" applyFill="1" applyAlignment="1">
      <alignment horizontal="center" vertical="center"/>
    </xf>
    <xf numFmtId="176" fontId="6" fillId="14" borderId="1" xfId="0" applyNumberFormat="1" applyFont="1" applyFill="1" applyBorder="1" applyAlignment="1">
      <alignment horizontal="center"/>
    </xf>
    <xf numFmtId="0" fontId="6" fillId="6" borderId="1" xfId="0" applyFont="1" applyFill="1" applyBorder="1" applyAlignment="1">
      <alignment horizontal="center"/>
    </xf>
    <xf numFmtId="0" fontId="6" fillId="8" borderId="5" xfId="2" applyFont="1" applyFill="1" applyBorder="1" applyAlignment="1">
      <alignment horizontal="center" vertical="center" wrapText="1"/>
    </xf>
    <xf numFmtId="0" fontId="0" fillId="5" borderId="9" xfId="0" applyFill="1" applyBorder="1"/>
    <xf numFmtId="177" fontId="8" fillId="5" borderId="1" xfId="0" applyNumberFormat="1" applyFont="1" applyFill="1" applyBorder="1" applyAlignment="1">
      <alignment horizontal="center"/>
    </xf>
    <xf numFmtId="0" fontId="6" fillId="7" borderId="0" xfId="0" applyFont="1" applyFill="1" applyAlignment="1">
      <alignment horizontal="center" wrapText="1"/>
    </xf>
    <xf numFmtId="169" fontId="0" fillId="13" borderId="9" xfId="0" applyNumberFormat="1" applyFill="1" applyBorder="1"/>
    <xf numFmtId="168" fontId="53" fillId="6" borderId="18" xfId="0" applyNumberFormat="1" applyFont="1" applyFill="1" applyBorder="1"/>
    <xf numFmtId="2" fontId="31" fillId="6" borderId="4" xfId="0" applyNumberFormat="1" applyFont="1" applyFill="1" applyBorder="1" applyAlignment="1">
      <alignment horizontal="center" vertical="center"/>
    </xf>
    <xf numFmtId="0" fontId="5" fillId="12" borderId="0" xfId="0" applyFont="1" applyFill="1" applyAlignment="1">
      <alignment horizontal="left" vertical="center"/>
    </xf>
    <xf numFmtId="0" fontId="78" fillId="12" borderId="0" xfId="0" applyFont="1" applyFill="1" applyAlignment="1">
      <alignment horizontal="left" vertical="center"/>
    </xf>
    <xf numFmtId="9" fontId="8" fillId="2" borderId="0" xfId="3" applyFont="1" applyFill="1" applyBorder="1" applyAlignment="1">
      <alignment horizontal="center"/>
    </xf>
    <xf numFmtId="2" fontId="31" fillId="4" borderId="4" xfId="0" applyNumberFormat="1" applyFont="1" applyFill="1" applyBorder="1" applyAlignment="1">
      <alignment horizontal="center" vertical="center"/>
    </xf>
    <xf numFmtId="0" fontId="31" fillId="4" borderId="6" xfId="0" applyFont="1" applyFill="1" applyBorder="1" applyAlignment="1">
      <alignment horizontal="left" vertical="center"/>
    </xf>
    <xf numFmtId="0" fontId="31" fillId="6" borderId="6" xfId="0" applyFont="1" applyFill="1" applyBorder="1" applyAlignment="1">
      <alignment horizontal="left" vertical="center"/>
    </xf>
    <xf numFmtId="179" fontId="31" fillId="6" borderId="9" xfId="0" applyNumberFormat="1" applyFont="1" applyFill="1" applyBorder="1" applyAlignment="1">
      <alignment horizontal="center" vertical="center"/>
    </xf>
    <xf numFmtId="183" fontId="5" fillId="6" borderId="9" xfId="0" applyNumberFormat="1" applyFont="1" applyFill="1" applyBorder="1" applyAlignment="1">
      <alignment horizontal="left" vertical="center"/>
    </xf>
    <xf numFmtId="2" fontId="75" fillId="5" borderId="4" xfId="0" applyNumberFormat="1" applyFont="1" applyFill="1" applyBorder="1" applyAlignment="1">
      <alignment horizontal="center" vertical="center"/>
    </xf>
    <xf numFmtId="0" fontId="5" fillId="6" borderId="13" xfId="0" applyFont="1" applyFill="1" applyBorder="1"/>
    <xf numFmtId="0" fontId="5" fillId="6" borderId="21" xfId="0" applyFont="1" applyFill="1" applyBorder="1"/>
    <xf numFmtId="0" fontId="53" fillId="6" borderId="3" xfId="0" applyFont="1" applyFill="1" applyBorder="1" applyAlignment="1">
      <alignment horizontal="center"/>
    </xf>
    <xf numFmtId="0" fontId="7" fillId="4" borderId="3" xfId="0" applyFont="1" applyFill="1" applyBorder="1" applyAlignment="1">
      <alignment horizontal="center" wrapText="1"/>
    </xf>
    <xf numFmtId="0" fontId="2" fillId="2" borderId="0" xfId="0" applyFont="1" applyFill="1"/>
    <xf numFmtId="2" fontId="12" fillId="2" borderId="0" xfId="0" applyNumberFormat="1" applyFont="1" applyFill="1" applyAlignment="1">
      <alignment horizontal="center"/>
    </xf>
    <xf numFmtId="0" fontId="12" fillId="2" borderId="0" xfId="0" quotePrefix="1" applyFont="1" applyFill="1" applyAlignment="1">
      <alignment horizontal="center"/>
    </xf>
    <xf numFmtId="2" fontId="15" fillId="8" borderId="0" xfId="2" applyNumberFormat="1" applyFont="1" applyFill="1" applyAlignment="1">
      <alignment horizontal="center"/>
    </xf>
    <xf numFmtId="0" fontId="15" fillId="8" borderId="16" xfId="2" applyFont="1" applyFill="1" applyBorder="1"/>
    <xf numFmtId="0" fontId="16" fillId="6" borderId="9" xfId="0" applyFont="1" applyFill="1" applyBorder="1" applyAlignment="1">
      <alignment horizontal="center"/>
    </xf>
    <xf numFmtId="177" fontId="57" fillId="5" borderId="1" xfId="0" applyNumberFormat="1" applyFont="1" applyFill="1" applyBorder="1" applyAlignment="1">
      <alignment horizontal="center"/>
    </xf>
    <xf numFmtId="0" fontId="12" fillId="14" borderId="6" xfId="0" applyFont="1" applyFill="1" applyBorder="1"/>
    <xf numFmtId="43" fontId="12" fillId="14" borderId="4" xfId="1" applyFont="1" applyFill="1" applyBorder="1"/>
    <xf numFmtId="0" fontId="6" fillId="6" borderId="18" xfId="0" applyFont="1" applyFill="1" applyBorder="1" applyAlignment="1">
      <alignment horizontal="center"/>
    </xf>
    <xf numFmtId="0" fontId="6" fillId="7" borderId="31" xfId="0" applyFont="1" applyFill="1" applyBorder="1" applyAlignment="1">
      <alignment horizontal="right"/>
    </xf>
    <xf numFmtId="0" fontId="6" fillId="7" borderId="22" xfId="0" applyFont="1" applyFill="1" applyBorder="1" applyAlignment="1">
      <alignment horizontal="right"/>
    </xf>
    <xf numFmtId="0" fontId="6" fillId="7" borderId="5" xfId="0" applyFont="1" applyFill="1" applyBorder="1" applyAlignment="1">
      <alignment horizontal="right"/>
    </xf>
    <xf numFmtId="175" fontId="0" fillId="2" borderId="0" xfId="0" applyNumberFormat="1" applyFill="1" applyAlignment="1">
      <alignment horizontal="center"/>
    </xf>
    <xf numFmtId="0" fontId="6" fillId="4" borderId="7" xfId="0" applyFont="1" applyFill="1" applyBorder="1" applyAlignment="1">
      <alignment horizontal="center" wrapText="1"/>
    </xf>
    <xf numFmtId="169" fontId="75" fillId="5" borderId="4" xfId="0" applyNumberFormat="1" applyFont="1" applyFill="1" applyBorder="1" applyAlignment="1">
      <alignment horizontal="center" vertical="center"/>
    </xf>
    <xf numFmtId="0" fontId="12" fillId="5" borderId="6" xfId="0" applyFont="1" applyFill="1" applyBorder="1"/>
    <xf numFmtId="0" fontId="8" fillId="5" borderId="6" xfId="0" applyFont="1" applyFill="1" applyBorder="1"/>
    <xf numFmtId="169" fontId="8" fillId="5" borderId="4" xfId="0" applyNumberFormat="1" applyFont="1" applyFill="1" applyBorder="1"/>
    <xf numFmtId="169" fontId="0" fillId="2" borderId="0" xfId="0" applyNumberFormat="1" applyFill="1"/>
    <xf numFmtId="177" fontId="57" fillId="5" borderId="1" xfId="0" applyNumberFormat="1" applyFont="1" applyFill="1" applyBorder="1" applyAlignment="1">
      <alignment horizontal="center" vertical="center"/>
    </xf>
    <xf numFmtId="0" fontId="80" fillId="0" borderId="0" xfId="0" applyFont="1"/>
    <xf numFmtId="2" fontId="53" fillId="0" borderId="0" xfId="0" applyNumberFormat="1" applyFont="1" applyAlignment="1">
      <alignment horizontal="center"/>
    </xf>
    <xf numFmtId="0" fontId="0" fillId="0" borderId="0" xfId="0" applyAlignment="1">
      <alignment horizontal="left"/>
    </xf>
    <xf numFmtId="169" fontId="75" fillId="12" borderId="0" xfId="0" applyNumberFormat="1" applyFont="1" applyFill="1" applyAlignment="1">
      <alignment horizontal="center" vertical="center"/>
    </xf>
    <xf numFmtId="0" fontId="6" fillId="0" borderId="0" xfId="0" applyFont="1" applyAlignment="1">
      <alignment horizontal="center"/>
    </xf>
    <xf numFmtId="0" fontId="16" fillId="0" borderId="0" xfId="0" applyFont="1" applyAlignment="1">
      <alignment horizontal="center"/>
    </xf>
    <xf numFmtId="2" fontId="53" fillId="0" borderId="0" xfId="0" applyNumberFormat="1" applyFont="1"/>
    <xf numFmtId="0" fontId="53" fillId="0" borderId="0" xfId="0" applyFont="1"/>
    <xf numFmtId="2" fontId="31" fillId="12" borderId="0" xfId="0" applyNumberFormat="1" applyFont="1" applyFill="1" applyAlignment="1">
      <alignment horizontal="center" vertical="center"/>
    </xf>
    <xf numFmtId="2" fontId="76" fillId="12" borderId="0" xfId="0" applyNumberFormat="1" applyFont="1" applyFill="1" applyAlignment="1">
      <alignment horizontal="center" vertical="center"/>
    </xf>
    <xf numFmtId="0" fontId="34" fillId="5" borderId="1" xfId="0" applyFont="1" applyFill="1" applyBorder="1" applyAlignment="1">
      <alignment horizontal="center"/>
    </xf>
    <xf numFmtId="0" fontId="8" fillId="5" borderId="9" xfId="0" applyFont="1" applyFill="1" applyBorder="1"/>
    <xf numFmtId="0" fontId="76" fillId="12" borderId="0" xfId="0" applyFont="1" applyFill="1" applyAlignment="1">
      <alignment vertical="center"/>
    </xf>
    <xf numFmtId="0" fontId="0" fillId="12" borderId="27" xfId="0" applyFill="1" applyBorder="1" applyAlignment="1">
      <alignment horizontal="left" vertical="center"/>
    </xf>
    <xf numFmtId="0" fontId="81" fillId="12" borderId="28" xfId="0" applyFont="1" applyFill="1" applyBorder="1" applyAlignment="1">
      <alignment horizontal="left" vertical="center"/>
    </xf>
    <xf numFmtId="0" fontId="34" fillId="12" borderId="28" xfId="0" applyFont="1" applyFill="1" applyBorder="1" applyAlignment="1">
      <alignment horizontal="center" vertical="center"/>
    </xf>
    <xf numFmtId="0" fontId="0" fillId="12" borderId="28" xfId="0" applyFill="1" applyBorder="1" applyAlignment="1">
      <alignment horizontal="left" vertical="center"/>
    </xf>
    <xf numFmtId="0" fontId="0" fillId="12" borderId="32" xfId="0" applyFill="1" applyBorder="1" applyAlignment="1">
      <alignment horizontal="left" vertical="center"/>
    </xf>
    <xf numFmtId="0" fontId="0" fillId="12" borderId="29" xfId="0" applyFill="1" applyBorder="1" applyAlignment="1">
      <alignment horizontal="left" vertical="center"/>
    </xf>
    <xf numFmtId="0" fontId="0" fillId="12" borderId="15" xfId="0" applyFill="1" applyBorder="1" applyAlignment="1">
      <alignment horizontal="left" vertical="center"/>
    </xf>
    <xf numFmtId="0" fontId="73" fillId="12" borderId="29" xfId="0" applyFont="1" applyFill="1" applyBorder="1" applyAlignment="1">
      <alignment horizontal="left" vertical="center"/>
    </xf>
    <xf numFmtId="0" fontId="73" fillId="12" borderId="15" xfId="0" applyFont="1" applyFill="1" applyBorder="1" applyAlignment="1">
      <alignment horizontal="left" vertical="center"/>
    </xf>
    <xf numFmtId="0" fontId="12" fillId="12" borderId="0" xfId="0" applyFont="1" applyFill="1" applyAlignment="1">
      <alignment horizontal="center" vertical="center"/>
    </xf>
    <xf numFmtId="0" fontId="73" fillId="12" borderId="30" xfId="0" applyFont="1" applyFill="1" applyBorder="1" applyAlignment="1">
      <alignment horizontal="left" vertical="center"/>
    </xf>
    <xf numFmtId="0" fontId="30" fillId="12" borderId="16" xfId="0" applyFont="1" applyFill="1" applyBorder="1" applyAlignment="1">
      <alignment horizontal="left" vertical="center"/>
    </xf>
    <xf numFmtId="0" fontId="73" fillId="12" borderId="16" xfId="0" applyFont="1" applyFill="1" applyBorder="1" applyAlignment="1">
      <alignment horizontal="center" vertical="center"/>
    </xf>
    <xf numFmtId="0" fontId="73" fillId="12" borderId="16" xfId="0" applyFont="1" applyFill="1" applyBorder="1" applyAlignment="1">
      <alignment horizontal="left" vertical="center"/>
    </xf>
    <xf numFmtId="0" fontId="73" fillId="12" borderId="17" xfId="0" applyFont="1" applyFill="1" applyBorder="1" applyAlignment="1">
      <alignment horizontal="left" vertical="center"/>
    </xf>
    <xf numFmtId="0" fontId="30" fillId="12" borderId="0" xfId="0" applyFont="1" applyFill="1" applyAlignment="1">
      <alignment horizontal="left" vertical="center"/>
    </xf>
    <xf numFmtId="0" fontId="73" fillId="12" borderId="27" xfId="0" applyFont="1" applyFill="1" applyBorder="1" applyAlignment="1">
      <alignment horizontal="left" vertical="center"/>
    </xf>
    <xf numFmtId="0" fontId="73" fillId="12" borderId="28" xfId="0" applyFont="1" applyFill="1" applyBorder="1" applyAlignment="1">
      <alignment horizontal="left" vertical="center"/>
    </xf>
    <xf numFmtId="0" fontId="31" fillId="12" borderId="29" xfId="0" applyFont="1" applyFill="1" applyBorder="1" applyAlignment="1">
      <alignment horizontal="left" vertical="center"/>
    </xf>
    <xf numFmtId="2" fontId="73" fillId="12" borderId="0" xfId="0" applyNumberFormat="1" applyFont="1" applyFill="1" applyAlignment="1">
      <alignment horizontal="center" vertical="center"/>
    </xf>
    <xf numFmtId="0" fontId="31" fillId="12" borderId="0" xfId="0" applyFont="1" applyFill="1" applyAlignment="1">
      <alignment horizontal="right" vertical="center"/>
    </xf>
    <xf numFmtId="0" fontId="31" fillId="12" borderId="30" xfId="0" applyFont="1" applyFill="1" applyBorder="1" applyAlignment="1">
      <alignment horizontal="left" vertical="center"/>
    </xf>
    <xf numFmtId="0" fontId="31" fillId="12" borderId="16" xfId="0" applyFont="1" applyFill="1" applyBorder="1" applyAlignment="1">
      <alignment horizontal="left" vertical="center"/>
    </xf>
    <xf numFmtId="2" fontId="73" fillId="12" borderId="16" xfId="0" applyNumberFormat="1" applyFont="1" applyFill="1" applyBorder="1" applyAlignment="1">
      <alignment horizontal="center" vertical="center"/>
    </xf>
    <xf numFmtId="0" fontId="73" fillId="12" borderId="32" xfId="0" applyFont="1" applyFill="1" applyBorder="1" applyAlignment="1">
      <alignment horizontal="left" vertical="center"/>
    </xf>
    <xf numFmtId="0" fontId="83" fillId="12" borderId="0" xfId="0" applyFont="1" applyFill="1" applyAlignment="1">
      <alignment horizontal="left" vertical="center"/>
    </xf>
    <xf numFmtId="0" fontId="84" fillId="12" borderId="0" xfId="0" applyFont="1" applyFill="1" applyAlignment="1">
      <alignment horizontal="left" vertical="center"/>
    </xf>
    <xf numFmtId="0" fontId="85" fillId="12" borderId="0" xfId="0" applyFont="1" applyFill="1" applyAlignment="1">
      <alignment horizontal="left" vertical="center"/>
    </xf>
    <xf numFmtId="0" fontId="7" fillId="3" borderId="33" xfId="0" applyFont="1" applyFill="1" applyBorder="1" applyAlignment="1">
      <alignment horizontal="left" vertical="center"/>
    </xf>
    <xf numFmtId="0" fontId="10" fillId="8" borderId="34" xfId="0" applyFont="1" applyFill="1" applyBorder="1" applyAlignment="1">
      <alignment horizontal="left" vertical="center"/>
    </xf>
    <xf numFmtId="0" fontId="10" fillId="8" borderId="35" xfId="0" applyFont="1" applyFill="1" applyBorder="1" applyAlignment="1">
      <alignment horizontal="left" vertical="center"/>
    </xf>
    <xf numFmtId="0" fontId="10" fillId="8" borderId="36" xfId="0" applyFont="1" applyFill="1" applyBorder="1" applyAlignment="1">
      <alignment horizontal="left" vertical="center"/>
    </xf>
    <xf numFmtId="0" fontId="10" fillId="8" borderId="15" xfId="0" applyFont="1" applyFill="1" applyBorder="1" applyAlignment="1">
      <alignment horizontal="left" vertical="center"/>
    </xf>
    <xf numFmtId="0" fontId="10" fillId="8" borderId="38" xfId="0" applyFont="1" applyFill="1" applyBorder="1" applyAlignment="1">
      <alignment horizontal="left" vertical="center"/>
    </xf>
    <xf numFmtId="0" fontId="10" fillId="8" borderId="39" xfId="0" applyFont="1" applyFill="1" applyBorder="1" applyAlignment="1">
      <alignment horizontal="left" vertical="center"/>
    </xf>
    <xf numFmtId="0" fontId="10" fillId="8" borderId="0" xfId="0" applyFont="1" applyFill="1" applyAlignment="1">
      <alignment horizontal="left" vertical="center"/>
    </xf>
    <xf numFmtId="0" fontId="10" fillId="8" borderId="40" xfId="0" applyFont="1" applyFill="1" applyBorder="1" applyAlignment="1">
      <alignment horizontal="left" vertical="center"/>
    </xf>
    <xf numFmtId="169" fontId="86" fillId="5" borderId="42" xfId="0" applyNumberFormat="1" applyFont="1" applyFill="1" applyBorder="1" applyAlignment="1">
      <alignment horizontal="center" vertical="center"/>
    </xf>
    <xf numFmtId="2" fontId="10" fillId="8" borderId="37" xfId="0" applyNumberFormat="1" applyFont="1" applyFill="1" applyBorder="1" applyAlignment="1">
      <alignment horizontal="left" vertical="center"/>
    </xf>
    <xf numFmtId="2" fontId="10" fillId="8" borderId="33" xfId="0" applyNumberFormat="1" applyFont="1" applyFill="1" applyBorder="1" applyAlignment="1">
      <alignment horizontal="left" vertical="center"/>
    </xf>
    <xf numFmtId="0" fontId="10" fillId="8" borderId="18" xfId="0" applyFont="1" applyFill="1" applyBorder="1" applyAlignment="1">
      <alignment horizontal="left" vertical="center"/>
    </xf>
    <xf numFmtId="0" fontId="10" fillId="8" borderId="7" xfId="0" applyFont="1" applyFill="1" applyBorder="1" applyAlignment="1">
      <alignment horizontal="left" vertical="center"/>
    </xf>
    <xf numFmtId="2" fontId="51" fillId="6" borderId="18" xfId="0" applyNumberFormat="1" applyFont="1" applyFill="1" applyBorder="1" applyAlignment="1">
      <alignment horizontal="left" vertical="center"/>
    </xf>
    <xf numFmtId="0" fontId="10" fillId="4" borderId="14" xfId="0" applyFont="1" applyFill="1" applyBorder="1" applyAlignment="1">
      <alignment horizontal="left" vertical="center"/>
    </xf>
    <xf numFmtId="184" fontId="53" fillId="6" borderId="1" xfId="0" applyNumberFormat="1" applyFont="1" applyFill="1" applyBorder="1" applyAlignment="1">
      <alignment horizontal="center"/>
    </xf>
    <xf numFmtId="2" fontId="5" fillId="6" borderId="4" xfId="0" applyNumberFormat="1" applyFont="1" applyFill="1" applyBorder="1"/>
    <xf numFmtId="0" fontId="5" fillId="6" borderId="6" xfId="0" applyFont="1" applyFill="1" applyBorder="1"/>
    <xf numFmtId="182" fontId="5" fillId="6" borderId="1" xfId="0" applyNumberFormat="1" applyFont="1" applyFill="1" applyBorder="1" applyAlignment="1">
      <alignment horizontal="center"/>
    </xf>
    <xf numFmtId="0" fontId="41" fillId="8" borderId="0" xfId="0" applyFont="1" applyFill="1" applyAlignment="1">
      <alignment horizontal="right"/>
    </xf>
    <xf numFmtId="169" fontId="6" fillId="8" borderId="0" xfId="0" applyNumberFormat="1" applyFont="1" applyFill="1" applyAlignment="1">
      <alignment horizontal="center"/>
    </xf>
    <xf numFmtId="0" fontId="6" fillId="8" borderId="0" xfId="0" applyFont="1" applyFill="1"/>
    <xf numFmtId="185" fontId="6" fillId="0" borderId="0" xfId="0" applyNumberFormat="1" applyFont="1" applyAlignment="1">
      <alignment horizontal="center"/>
    </xf>
    <xf numFmtId="2" fontId="6" fillId="0" borderId="0" xfId="0" applyNumberFormat="1" applyFont="1" applyAlignment="1">
      <alignment horizontal="center"/>
    </xf>
    <xf numFmtId="185" fontId="6" fillId="6" borderId="8" xfId="0" applyNumberFormat="1" applyFont="1" applyFill="1" applyBorder="1" applyAlignment="1">
      <alignment horizontal="center"/>
    </xf>
    <xf numFmtId="0" fontId="16" fillId="0" borderId="0" xfId="0" applyFont="1"/>
    <xf numFmtId="0" fontId="43" fillId="0" borderId="0" xfId="0" applyFont="1"/>
    <xf numFmtId="0" fontId="6" fillId="5" borderId="18" xfId="0" applyFont="1" applyFill="1" applyBorder="1" applyAlignment="1">
      <alignment horizontal="right"/>
    </xf>
    <xf numFmtId="184" fontId="6" fillId="5" borderId="8" xfId="0" applyNumberFormat="1" applyFont="1" applyFill="1" applyBorder="1" applyAlignment="1">
      <alignment horizontal="left"/>
    </xf>
    <xf numFmtId="0" fontId="16" fillId="4" borderId="7" xfId="0" quotePrefix="1" applyFont="1" applyFill="1" applyBorder="1"/>
    <xf numFmtId="0" fontId="51" fillId="4" borderId="8" xfId="0" applyFont="1" applyFill="1" applyBorder="1" applyAlignment="1">
      <alignment horizontal="left" vertical="center"/>
    </xf>
    <xf numFmtId="2" fontId="51" fillId="4" borderId="18" xfId="0" applyNumberFormat="1" applyFont="1" applyFill="1" applyBorder="1" applyAlignment="1">
      <alignment horizontal="center" vertical="center"/>
    </xf>
    <xf numFmtId="168" fontId="0" fillId="6" borderId="9" xfId="0" applyNumberFormat="1" applyFill="1" applyBorder="1"/>
    <xf numFmtId="0" fontId="12" fillId="14" borderId="4" xfId="0" applyFont="1" applyFill="1" applyBorder="1"/>
    <xf numFmtId="170" fontId="12" fillId="6" borderId="4" xfId="1" applyNumberFormat="1" applyFont="1" applyFill="1" applyBorder="1"/>
    <xf numFmtId="164" fontId="0" fillId="4" borderId="4" xfId="0" applyNumberFormat="1" applyFill="1" applyBorder="1"/>
    <xf numFmtId="0" fontId="0" fillId="14" borderId="6" xfId="0" applyFill="1" applyBorder="1"/>
    <xf numFmtId="169" fontId="0" fillId="14" borderId="4" xfId="0" applyNumberFormat="1" applyFill="1" applyBorder="1"/>
    <xf numFmtId="168" fontId="12" fillId="0" borderId="0" xfId="0" applyNumberFormat="1" applyFont="1"/>
    <xf numFmtId="169" fontId="0" fillId="0" borderId="9" xfId="0" applyNumberFormat="1" applyBorder="1"/>
    <xf numFmtId="0" fontId="6" fillId="7" borderId="25" xfId="0" applyFont="1" applyFill="1" applyBorder="1"/>
    <xf numFmtId="0" fontId="6" fillId="7" borderId="43" xfId="0" applyFont="1" applyFill="1" applyBorder="1"/>
    <xf numFmtId="0" fontId="6" fillId="7" borderId="21" xfId="0" applyFont="1" applyFill="1" applyBorder="1"/>
    <xf numFmtId="0" fontId="6" fillId="7" borderId="24" xfId="0" applyFont="1" applyFill="1" applyBorder="1" applyAlignment="1">
      <alignment horizontal="left"/>
    </xf>
    <xf numFmtId="0" fontId="6" fillId="7" borderId="44" xfId="0" applyFont="1" applyFill="1" applyBorder="1" applyAlignment="1">
      <alignment horizontal="left"/>
    </xf>
    <xf numFmtId="0" fontId="6" fillId="7" borderId="45" xfId="0" applyFont="1" applyFill="1" applyBorder="1" applyAlignment="1">
      <alignment horizontal="left"/>
    </xf>
    <xf numFmtId="0" fontId="76" fillId="12" borderId="0" xfId="0" applyFont="1" applyFill="1" applyAlignment="1">
      <alignment horizontal="center" vertical="center"/>
    </xf>
    <xf numFmtId="0" fontId="76" fillId="12" borderId="0" xfId="0" applyFont="1" applyFill="1" applyAlignment="1">
      <alignment horizontal="left" vertical="center"/>
    </xf>
    <xf numFmtId="0" fontId="6" fillId="12" borderId="0" xfId="0" applyFont="1" applyFill="1" applyAlignment="1">
      <alignment horizontal="left" vertical="center"/>
    </xf>
    <xf numFmtId="0" fontId="75" fillId="5" borderId="5" xfId="0" applyFont="1" applyFill="1" applyBorder="1" applyAlignment="1">
      <alignment horizontal="left" vertical="center"/>
    </xf>
    <xf numFmtId="0" fontId="31" fillId="14" borderId="5" xfId="0" applyFont="1" applyFill="1" applyBorder="1" applyAlignment="1">
      <alignment horizontal="left" vertical="center"/>
    </xf>
    <xf numFmtId="0" fontId="72" fillId="14" borderId="5" xfId="0" applyFont="1" applyFill="1" applyBorder="1" applyAlignment="1">
      <alignment horizontal="left" vertical="center"/>
    </xf>
    <xf numFmtId="0" fontId="31" fillId="14" borderId="4" xfId="0" applyFont="1" applyFill="1" applyBorder="1" applyAlignment="1">
      <alignment horizontal="center" vertical="center"/>
    </xf>
    <xf numFmtId="0" fontId="31" fillId="14" borderId="5" xfId="0" applyFont="1" applyFill="1" applyBorder="1" applyAlignment="1">
      <alignment horizontal="center" vertical="center"/>
    </xf>
    <xf numFmtId="0" fontId="29" fillId="6" borderId="1" xfId="0" applyFont="1" applyFill="1" applyBorder="1" applyAlignment="1">
      <alignment horizontal="center" vertical="center"/>
    </xf>
    <xf numFmtId="0" fontId="88" fillId="12" borderId="0" xfId="0" applyFont="1" applyFill="1" applyAlignment="1">
      <alignment horizontal="center" vertical="center"/>
    </xf>
    <xf numFmtId="9" fontId="6" fillId="6" borderId="9" xfId="0" applyNumberFormat="1" applyFont="1" applyFill="1" applyBorder="1" applyAlignment="1">
      <alignment horizontal="center" vertical="center"/>
    </xf>
    <xf numFmtId="0" fontId="8" fillId="5" borderId="8" xfId="0" applyFont="1" applyFill="1" applyBorder="1" applyAlignment="1">
      <alignment horizontal="center"/>
    </xf>
    <xf numFmtId="184" fontId="79" fillId="12" borderId="0" xfId="0" applyNumberFormat="1" applyFont="1" applyFill="1" applyAlignment="1">
      <alignment horizontal="left" vertical="center"/>
    </xf>
    <xf numFmtId="0" fontId="89" fillId="12" borderId="0" xfId="0" quotePrefix="1" applyFont="1" applyFill="1" applyAlignment="1">
      <alignment horizontal="left" vertical="center"/>
    </xf>
    <xf numFmtId="186" fontId="0" fillId="6" borderId="18" xfId="0" applyNumberFormat="1" applyFill="1" applyBorder="1" applyAlignment="1">
      <alignment horizontal="center"/>
    </xf>
    <xf numFmtId="0" fontId="16" fillId="3" borderId="0" xfId="0" applyFont="1" applyFill="1"/>
    <xf numFmtId="0" fontId="8" fillId="5" borderId="12" xfId="0" applyFont="1" applyFill="1" applyBorder="1" applyAlignment="1">
      <alignment horizontal="center"/>
    </xf>
    <xf numFmtId="0" fontId="0" fillId="14" borderId="9" xfId="0" applyFill="1" applyBorder="1" applyAlignment="1">
      <alignment horizontal="center"/>
    </xf>
    <xf numFmtId="0" fontId="51" fillId="6" borderId="9" xfId="0" applyFont="1" applyFill="1" applyBorder="1" applyAlignment="1">
      <alignment horizontal="center" vertical="center"/>
    </xf>
    <xf numFmtId="0" fontId="12" fillId="11" borderId="6" xfId="0" applyFont="1" applyFill="1" applyBorder="1"/>
    <xf numFmtId="0" fontId="0" fillId="0" borderId="6" xfId="0" applyBorder="1"/>
    <xf numFmtId="0" fontId="12" fillId="0" borderId="6" xfId="0" applyFont="1" applyBorder="1"/>
    <xf numFmtId="0" fontId="6" fillId="5" borderId="9" xfId="0" applyFont="1" applyFill="1" applyBorder="1" applyAlignment="1">
      <alignment horizontal="center"/>
    </xf>
    <xf numFmtId="0" fontId="65" fillId="2" borderId="0" xfId="0" applyFont="1" applyFill="1" applyAlignment="1">
      <alignment horizontal="center"/>
    </xf>
    <xf numFmtId="0" fontId="45" fillId="2" borderId="0" xfId="0" applyFont="1" applyFill="1" applyAlignment="1">
      <alignment horizontal="center"/>
    </xf>
    <xf numFmtId="0" fontId="12" fillId="0" borderId="0" xfId="0" applyFont="1" applyAlignment="1">
      <alignment horizontal="center"/>
    </xf>
    <xf numFmtId="0" fontId="12" fillId="0" borderId="9" xfId="0" applyFont="1" applyBorder="1" applyAlignment="1">
      <alignment horizontal="center"/>
    </xf>
    <xf numFmtId="2" fontId="12" fillId="12" borderId="0" xfId="0" applyNumberFormat="1" applyFont="1" applyFill="1" applyAlignment="1">
      <alignment horizontal="center" vertical="center"/>
    </xf>
    <xf numFmtId="169" fontId="12" fillId="12" borderId="0" xfId="0" applyNumberFormat="1" applyFont="1" applyFill="1" applyAlignment="1">
      <alignment horizontal="center" vertical="center"/>
    </xf>
    <xf numFmtId="164" fontId="12" fillId="0" borderId="0" xfId="0" applyNumberFormat="1" applyFont="1"/>
    <xf numFmtId="0" fontId="10" fillId="4" borderId="6" xfId="0" applyFont="1" applyFill="1" applyBorder="1" applyAlignment="1">
      <alignment horizontal="left" vertical="center"/>
    </xf>
    <xf numFmtId="2" fontId="31" fillId="6" borderId="9" xfId="0" applyNumberFormat="1" applyFont="1" applyFill="1" applyBorder="1" applyAlignment="1">
      <alignment horizontal="center" vertical="center"/>
    </xf>
    <xf numFmtId="13" fontId="31" fillId="6" borderId="9" xfId="0" applyNumberFormat="1" applyFont="1" applyFill="1" applyBorder="1" applyAlignment="1">
      <alignment horizontal="center" vertical="center"/>
    </xf>
    <xf numFmtId="0" fontId="12" fillId="3" borderId="0" xfId="0" quotePrefix="1" applyFont="1" applyFill="1"/>
    <xf numFmtId="1" fontId="6" fillId="5" borderId="18" xfId="0" applyNumberFormat="1" applyFont="1" applyFill="1" applyBorder="1" applyAlignment="1">
      <alignment horizontal="right"/>
    </xf>
    <xf numFmtId="0" fontId="91" fillId="0" borderId="0" xfId="0" applyFont="1" applyAlignment="1">
      <alignment horizontal="center"/>
    </xf>
    <xf numFmtId="0" fontId="44" fillId="6" borderId="24" xfId="0" applyFont="1" applyFill="1" applyBorder="1" applyAlignment="1">
      <alignment horizontal="center"/>
    </xf>
    <xf numFmtId="0" fontId="29" fillId="4" borderId="1" xfId="0" applyFont="1" applyFill="1" applyBorder="1" applyAlignment="1">
      <alignment horizontal="center"/>
    </xf>
    <xf numFmtId="2" fontId="5" fillId="6" borderId="4" xfId="0" applyNumberFormat="1" applyFont="1" applyFill="1" applyBorder="1" applyAlignment="1">
      <alignment vertical="center"/>
    </xf>
    <xf numFmtId="2" fontId="6" fillId="4" borderId="4" xfId="0" applyNumberFormat="1" applyFont="1" applyFill="1" applyBorder="1"/>
    <xf numFmtId="0" fontId="6" fillId="4" borderId="6" xfId="0" applyFont="1" applyFill="1" applyBorder="1"/>
    <xf numFmtId="167" fontId="6" fillId="4" borderId="4" xfId="0" applyNumberFormat="1" applyFont="1" applyFill="1" applyBorder="1" applyAlignment="1">
      <alignment horizontal="center"/>
    </xf>
    <xf numFmtId="182" fontId="5" fillId="6" borderId="1" xfId="0" applyNumberFormat="1" applyFont="1" applyFill="1" applyBorder="1" applyAlignment="1">
      <alignment horizontal="center" vertical="center"/>
    </xf>
    <xf numFmtId="0" fontId="5" fillId="6" borderId="6" xfId="0" applyFont="1" applyFill="1" applyBorder="1" applyAlignment="1">
      <alignment vertical="center"/>
    </xf>
    <xf numFmtId="0" fontId="87" fillId="12" borderId="0" xfId="0" applyFont="1" applyFill="1" applyAlignment="1">
      <alignment horizontal="left" vertical="center"/>
    </xf>
    <xf numFmtId="0" fontId="12" fillId="8" borderId="9" xfId="0" applyFont="1" applyFill="1" applyBorder="1" applyAlignment="1">
      <alignment vertical="center"/>
    </xf>
    <xf numFmtId="0" fontId="12" fillId="0" borderId="9" xfId="0" applyFont="1" applyBorder="1" applyAlignment="1">
      <alignment horizontal="left" vertical="center"/>
    </xf>
    <xf numFmtId="172" fontId="6" fillId="4" borderId="1" xfId="0" applyNumberFormat="1" applyFont="1" applyFill="1" applyBorder="1" applyAlignment="1">
      <alignment horizontal="center" vertical="center"/>
    </xf>
    <xf numFmtId="184" fontId="57" fillId="5" borderId="1" xfId="0" applyNumberFormat="1" applyFont="1" applyFill="1" applyBorder="1" applyAlignment="1">
      <alignment horizontal="center" vertical="center"/>
    </xf>
    <xf numFmtId="169" fontId="12" fillId="5" borderId="9" xfId="0" applyNumberFormat="1" applyFont="1" applyFill="1" applyBorder="1"/>
    <xf numFmtId="0" fontId="0" fillId="5" borderId="0" xfId="0" quotePrefix="1" applyFill="1"/>
    <xf numFmtId="0" fontId="11" fillId="4" borderId="14" xfId="0" applyFont="1" applyFill="1" applyBorder="1" applyAlignment="1">
      <alignment horizontal="center"/>
    </xf>
    <xf numFmtId="0" fontId="95" fillId="16" borderId="10" xfId="0" applyFont="1" applyFill="1" applyBorder="1"/>
    <xf numFmtId="2" fontId="53" fillId="6" borderId="9" xfId="0" applyNumberFormat="1" applyFont="1" applyFill="1" applyBorder="1" applyAlignment="1">
      <alignment horizontal="center"/>
    </xf>
    <xf numFmtId="2" fontId="16" fillId="6" borderId="2" xfId="0" applyNumberFormat="1" applyFont="1" applyFill="1" applyBorder="1" applyAlignment="1">
      <alignment horizontal="center"/>
    </xf>
    <xf numFmtId="0" fontId="96" fillId="12" borderId="28" xfId="0" applyFont="1" applyFill="1" applyBorder="1" applyAlignment="1">
      <alignment horizontal="left" vertical="center"/>
    </xf>
    <xf numFmtId="0" fontId="7" fillId="4" borderId="2" xfId="0" applyFont="1" applyFill="1" applyBorder="1" applyAlignment="1">
      <alignment horizontal="center"/>
    </xf>
    <xf numFmtId="0" fontId="6" fillId="8" borderId="28" xfId="2" applyFont="1" applyFill="1" applyBorder="1" applyAlignment="1">
      <alignment horizontal="left" vertical="center"/>
    </xf>
    <xf numFmtId="0" fontId="6" fillId="0" borderId="4" xfId="0" applyFont="1" applyBorder="1" applyAlignment="1">
      <alignment horizontal="center" vertical="center"/>
    </xf>
    <xf numFmtId="0" fontId="12" fillId="17" borderId="0" xfId="0" applyFont="1" applyFill="1"/>
    <xf numFmtId="2" fontId="12" fillId="8" borderId="0" xfId="2" applyNumberFormat="1" applyFill="1" applyAlignment="1">
      <alignment horizontal="center"/>
    </xf>
    <xf numFmtId="165" fontId="12" fillId="8" borderId="0" xfId="2" applyNumberFormat="1" applyFill="1" applyAlignment="1">
      <alignment horizontal="center"/>
    </xf>
    <xf numFmtId="1" fontId="12" fillId="8" borderId="0" xfId="2" applyNumberFormat="1" applyFill="1" applyAlignment="1">
      <alignment horizontal="center"/>
    </xf>
    <xf numFmtId="0" fontId="12" fillId="8" borderId="0" xfId="2" applyFill="1" applyAlignment="1">
      <alignment horizontal="center"/>
    </xf>
    <xf numFmtId="13" fontId="12" fillId="8" borderId="0" xfId="2" applyNumberFormat="1" applyFill="1" applyAlignment="1">
      <alignment horizontal="center"/>
    </xf>
    <xf numFmtId="0" fontId="12" fillId="17" borderId="30" xfId="0" applyFont="1" applyFill="1" applyBorder="1"/>
    <xf numFmtId="167" fontId="12" fillId="8" borderId="0" xfId="2" applyNumberFormat="1" applyFill="1" applyAlignment="1">
      <alignment horizontal="center"/>
    </xf>
    <xf numFmtId="181" fontId="12" fillId="8" borderId="15" xfId="2" applyNumberFormat="1" applyFill="1" applyBorder="1" applyAlignment="1">
      <alignment horizontal="center"/>
    </xf>
    <xf numFmtId="10" fontId="12" fillId="8" borderId="15" xfId="2" applyNumberFormat="1" applyFill="1" applyBorder="1" applyAlignment="1">
      <alignment horizontal="center"/>
    </xf>
    <xf numFmtId="0" fontId="12" fillId="20" borderId="0" xfId="2" applyFill="1" applyAlignment="1">
      <alignment horizontal="center"/>
    </xf>
    <xf numFmtId="13" fontId="12" fillId="20" borderId="0" xfId="2" quotePrefix="1" applyNumberFormat="1" applyFill="1" applyAlignment="1">
      <alignment horizontal="center" vertical="center"/>
    </xf>
    <xf numFmtId="2" fontId="12" fillId="20" borderId="0" xfId="2" applyNumberFormat="1" applyFill="1" applyAlignment="1">
      <alignment horizontal="center"/>
    </xf>
    <xf numFmtId="2" fontId="15" fillId="20" borderId="0" xfId="2" applyNumberFormat="1" applyFont="1" applyFill="1" applyAlignment="1">
      <alignment horizontal="center"/>
    </xf>
    <xf numFmtId="2" fontId="70" fillId="20" borderId="0" xfId="2" applyNumberFormat="1" applyFont="1" applyFill="1" applyAlignment="1">
      <alignment horizontal="center"/>
    </xf>
    <xf numFmtId="0" fontId="12" fillId="20" borderId="0" xfId="2" applyFill="1" applyAlignment="1">
      <alignment horizontal="center" vertical="center"/>
    </xf>
    <xf numFmtId="167" fontId="12" fillId="20" borderId="0" xfId="2" applyNumberFormat="1" applyFill="1" applyAlignment="1">
      <alignment horizontal="center"/>
    </xf>
    <xf numFmtId="2" fontId="12" fillId="20" borderId="0" xfId="2" applyNumberFormat="1" applyFill="1" applyAlignment="1">
      <alignment horizontal="center" vertical="center"/>
    </xf>
    <xf numFmtId="181" fontId="12" fillId="20" borderId="15" xfId="2" applyNumberFormat="1" applyFill="1" applyBorder="1" applyAlignment="1">
      <alignment horizontal="center"/>
    </xf>
    <xf numFmtId="13" fontId="12" fillId="20" borderId="0" xfId="2" quotePrefix="1" applyNumberFormat="1" applyFill="1" applyAlignment="1">
      <alignment horizontal="center"/>
    </xf>
    <xf numFmtId="165" fontId="12" fillId="20" borderId="0" xfId="2" applyNumberFormat="1" applyFill="1" applyAlignment="1">
      <alignment horizontal="center"/>
    </xf>
    <xf numFmtId="1" fontId="12" fillId="20" borderId="0" xfId="2" applyNumberFormat="1" applyFill="1" applyAlignment="1">
      <alignment horizontal="center"/>
    </xf>
    <xf numFmtId="10" fontId="12" fillId="20" borderId="15" xfId="2" applyNumberFormat="1" applyFill="1" applyBorder="1" applyAlignment="1">
      <alignment horizontal="center"/>
    </xf>
    <xf numFmtId="13" fontId="12" fillId="20" borderId="0" xfId="2" applyNumberFormat="1" applyFill="1" applyAlignment="1">
      <alignment horizontal="center"/>
    </xf>
    <xf numFmtId="2" fontId="98" fillId="20" borderId="0" xfId="2" applyNumberFormat="1" applyFont="1" applyFill="1" applyAlignment="1">
      <alignment horizontal="center"/>
    </xf>
    <xf numFmtId="0" fontId="99" fillId="20" borderId="0" xfId="0" applyFont="1" applyFill="1" applyAlignment="1">
      <alignment horizontal="center"/>
    </xf>
    <xf numFmtId="0" fontId="6" fillId="17" borderId="0" xfId="0" applyFont="1" applyFill="1" applyAlignment="1">
      <alignment horizontal="center"/>
    </xf>
    <xf numFmtId="0" fontId="0" fillId="20" borderId="4" xfId="0" applyFill="1" applyBorder="1"/>
    <xf numFmtId="167" fontId="12" fillId="20" borderId="0" xfId="2" applyNumberFormat="1" applyFill="1" applyAlignment="1">
      <alignment horizontal="center" vertical="center"/>
    </xf>
    <xf numFmtId="0" fontId="12" fillId="20" borderId="17" xfId="2" applyFill="1" applyBorder="1" applyAlignment="1">
      <alignment horizontal="center" vertical="center"/>
    </xf>
    <xf numFmtId="0" fontId="12" fillId="21" borderId="0" xfId="2" applyFill="1" applyAlignment="1">
      <alignment horizontal="center" vertical="center"/>
    </xf>
    <xf numFmtId="0" fontId="0" fillId="21" borderId="0" xfId="0" applyFill="1"/>
    <xf numFmtId="0" fontId="12" fillId="21" borderId="0" xfId="2" applyFill="1"/>
    <xf numFmtId="0" fontId="6" fillId="21" borderId="0" xfId="0" applyFont="1" applyFill="1"/>
    <xf numFmtId="0" fontId="97" fillId="21" borderId="0" xfId="0" applyFont="1" applyFill="1"/>
    <xf numFmtId="0" fontId="12" fillId="21" borderId="0" xfId="0" applyFont="1" applyFill="1"/>
    <xf numFmtId="0" fontId="12" fillId="21" borderId="15" xfId="0" applyFont="1" applyFill="1" applyBorder="1"/>
    <xf numFmtId="0" fontId="0" fillId="21" borderId="15" xfId="0" applyFill="1" applyBorder="1"/>
    <xf numFmtId="0" fontId="12" fillId="21" borderId="0" xfId="2" applyFill="1" applyAlignment="1">
      <alignment horizontal="center"/>
    </xf>
    <xf numFmtId="16" fontId="12" fillId="21" borderId="0" xfId="2" applyNumberFormat="1" applyFill="1" applyAlignment="1">
      <alignment horizontal="center"/>
    </xf>
    <xf numFmtId="166" fontId="12" fillId="21" borderId="0" xfId="2" applyNumberFormat="1" applyFill="1"/>
    <xf numFmtId="167" fontId="12" fillId="21" borderId="0" xfId="2" applyNumberFormat="1" applyFill="1" applyAlignment="1">
      <alignment horizontal="center"/>
    </xf>
    <xf numFmtId="2" fontId="12" fillId="21" borderId="0" xfId="2" applyNumberFormat="1" applyFill="1"/>
    <xf numFmtId="13" fontId="12" fillId="21" borderId="0" xfId="2" applyNumberFormat="1" applyFill="1" applyAlignment="1">
      <alignment horizontal="center"/>
    </xf>
    <xf numFmtId="0" fontId="22" fillId="20" borderId="0" xfId="0" applyFont="1" applyFill="1" applyAlignment="1">
      <alignment horizontal="center" vertical="center" wrapText="1"/>
    </xf>
    <xf numFmtId="2" fontId="0" fillId="4" borderId="4" xfId="0" applyNumberFormat="1" applyFill="1" applyBorder="1" applyAlignment="1">
      <alignment horizontal="center" vertical="center"/>
    </xf>
    <xf numFmtId="2" fontId="16" fillId="6" borderId="7" xfId="0" applyNumberFormat="1" applyFont="1" applyFill="1" applyBorder="1" applyAlignment="1">
      <alignment horizontal="center"/>
    </xf>
    <xf numFmtId="2" fontId="8" fillId="5" borderId="4" xfId="0" applyNumberFormat="1" applyFont="1" applyFill="1" applyBorder="1"/>
    <xf numFmtId="0" fontId="12" fillId="8" borderId="0" xfId="2" applyFill="1"/>
    <xf numFmtId="168" fontId="12" fillId="8" borderId="0" xfId="2" applyNumberFormat="1" applyFill="1" applyAlignment="1">
      <alignment horizontal="center"/>
    </xf>
    <xf numFmtId="0" fontId="0" fillId="17" borderId="0" xfId="0" applyFill="1"/>
    <xf numFmtId="0" fontId="0" fillId="17" borderId="5" xfId="0" applyFill="1" applyBorder="1"/>
    <xf numFmtId="0" fontId="0" fillId="17" borderId="4" xfId="0" applyFill="1" applyBorder="1"/>
    <xf numFmtId="0" fontId="0" fillId="17" borderId="30" xfId="0" applyFill="1" applyBorder="1"/>
    <xf numFmtId="0" fontId="6" fillId="17" borderId="0" xfId="0" applyFont="1" applyFill="1" applyAlignment="1">
      <alignment horizontal="center" vertical="center"/>
    </xf>
    <xf numFmtId="0" fontId="29" fillId="12" borderId="28" xfId="0" applyFont="1" applyFill="1" applyBorder="1" applyAlignment="1">
      <alignment horizontal="center"/>
    </xf>
    <xf numFmtId="0" fontId="29" fillId="12" borderId="28" xfId="0" applyFont="1" applyFill="1" applyBorder="1" applyAlignment="1">
      <alignment horizontal="center" vertical="center"/>
    </xf>
    <xf numFmtId="2" fontId="31" fillId="22" borderId="4" xfId="0" applyNumberFormat="1" applyFont="1" applyFill="1" applyBorder="1" applyAlignment="1">
      <alignment horizontal="center" vertical="center"/>
    </xf>
    <xf numFmtId="0" fontId="31" fillId="22" borderId="6" xfId="0" applyFont="1" applyFill="1" applyBorder="1" applyAlignment="1">
      <alignment horizontal="left" vertical="center"/>
    </xf>
    <xf numFmtId="184" fontId="101" fillId="12" borderId="0" xfId="0" applyNumberFormat="1" applyFont="1" applyFill="1" applyAlignment="1">
      <alignment horizontal="right" vertical="center"/>
    </xf>
    <xf numFmtId="0" fontId="102" fillId="12" borderId="0" xfId="0" quotePrefix="1" applyFont="1" applyFill="1" applyAlignment="1">
      <alignment horizontal="left" vertical="center"/>
    </xf>
    <xf numFmtId="0" fontId="12" fillId="8" borderId="28" xfId="2" applyFill="1" applyBorder="1" applyAlignment="1">
      <alignment horizontal="left" vertical="center"/>
    </xf>
    <xf numFmtId="0" fontId="6" fillId="17" borderId="0" xfId="0" applyFont="1" applyFill="1" applyAlignment="1">
      <alignment vertical="center"/>
    </xf>
    <xf numFmtId="188" fontId="57" fillId="5" borderId="1" xfId="0" applyNumberFormat="1" applyFont="1" applyFill="1" applyBorder="1" applyAlignment="1">
      <alignment horizontal="center" vertical="center"/>
    </xf>
    <xf numFmtId="0" fontId="98" fillId="12" borderId="0" xfId="0" applyFont="1" applyFill="1" applyAlignment="1">
      <alignment horizontal="left" vertical="center"/>
    </xf>
    <xf numFmtId="0" fontId="31" fillId="12" borderId="0" xfId="0" quotePrefix="1" applyFont="1" applyFill="1" applyAlignment="1">
      <alignment horizontal="center" vertical="center"/>
    </xf>
    <xf numFmtId="167" fontId="31" fillId="4" borderId="4" xfId="0" applyNumberFormat="1" applyFont="1" applyFill="1" applyBorder="1" applyAlignment="1">
      <alignment horizontal="center" vertical="center"/>
    </xf>
    <xf numFmtId="2" fontId="103" fillId="4" borderId="4" xfId="0" applyNumberFormat="1" applyFont="1" applyFill="1" applyBorder="1" applyAlignment="1">
      <alignment horizontal="center" vertical="center"/>
    </xf>
    <xf numFmtId="168" fontId="17" fillId="6" borderId="4" xfId="0" applyNumberFormat="1" applyFont="1" applyFill="1" applyBorder="1" applyAlignment="1">
      <alignment horizontal="center" vertical="center"/>
    </xf>
    <xf numFmtId="2" fontId="29" fillId="4" borderId="4" xfId="0" applyNumberFormat="1" applyFont="1" applyFill="1" applyBorder="1" applyAlignment="1">
      <alignment horizontal="center" vertical="center"/>
    </xf>
    <xf numFmtId="0" fontId="10" fillId="12" borderId="0" xfId="0" applyFont="1" applyFill="1" applyAlignment="1">
      <alignment horizontal="left" vertical="center"/>
    </xf>
    <xf numFmtId="0" fontId="31" fillId="23" borderId="6" xfId="0" applyFont="1" applyFill="1" applyBorder="1" applyAlignment="1">
      <alignment vertical="center"/>
    </xf>
    <xf numFmtId="0" fontId="68" fillId="5" borderId="1" xfId="0" applyFont="1" applyFill="1" applyBorder="1" applyAlignment="1">
      <alignment horizontal="center" vertical="center"/>
    </xf>
    <xf numFmtId="0" fontId="104" fillId="12" borderId="0" xfId="0" applyFont="1" applyFill="1" applyAlignment="1">
      <alignment horizontal="left" vertical="center"/>
    </xf>
    <xf numFmtId="0" fontId="31" fillId="22" borderId="9" xfId="0" applyFont="1" applyFill="1" applyBorder="1" applyAlignment="1">
      <alignment horizontal="center" vertical="center"/>
    </xf>
    <xf numFmtId="0" fontId="2" fillId="12" borderId="0" xfId="0" applyFont="1" applyFill="1" applyAlignment="1">
      <alignment horizontal="left" vertical="center"/>
    </xf>
    <xf numFmtId="0" fontId="2" fillId="12" borderId="0" xfId="0" applyFont="1" applyFill="1" applyAlignment="1">
      <alignment horizontal="center" vertical="center"/>
    </xf>
    <xf numFmtId="0" fontId="2" fillId="0" borderId="9" xfId="0" applyFont="1" applyBorder="1" applyAlignment="1">
      <alignment horizontal="center"/>
    </xf>
    <xf numFmtId="0" fontId="2" fillId="3" borderId="0" xfId="0" applyFont="1" applyFill="1"/>
    <xf numFmtId="2" fontId="5" fillId="24" borderId="9" xfId="0" applyNumberFormat="1" applyFont="1" applyFill="1" applyBorder="1" applyAlignment="1">
      <alignment horizontal="center" vertical="center"/>
    </xf>
    <xf numFmtId="0" fontId="29" fillId="4" borderId="20" xfId="0" applyFont="1" applyFill="1" applyBorder="1" applyAlignment="1">
      <alignment vertical="center"/>
    </xf>
    <xf numFmtId="0" fontId="6" fillId="4" borderId="7" xfId="0" applyFont="1" applyFill="1" applyBorder="1" applyAlignment="1">
      <alignment vertical="center"/>
    </xf>
    <xf numFmtId="0" fontId="22" fillId="20" borderId="12" xfId="0" applyFont="1" applyFill="1" applyBorder="1" applyAlignment="1">
      <alignment horizontal="center" vertical="center" wrapText="1"/>
    </xf>
    <xf numFmtId="0" fontId="8" fillId="5" borderId="3" xfId="2" applyFont="1" applyFill="1" applyBorder="1" applyAlignment="1">
      <alignment horizontal="center" vertical="center"/>
    </xf>
    <xf numFmtId="0" fontId="0" fillId="23" borderId="14" xfId="0" applyFill="1" applyBorder="1"/>
    <xf numFmtId="0" fontId="29" fillId="23" borderId="14" xfId="0" applyFont="1" applyFill="1" applyBorder="1"/>
    <xf numFmtId="0" fontId="19" fillId="4" borderId="7" xfId="0" applyFont="1" applyFill="1" applyBorder="1" applyAlignment="1">
      <alignment horizontal="center" vertical="center"/>
    </xf>
    <xf numFmtId="0" fontId="17" fillId="7" borderId="0" xfId="0" applyFont="1" applyFill="1" applyAlignment="1">
      <alignment horizontal="center" vertical="center"/>
    </xf>
    <xf numFmtId="0" fontId="17" fillId="7" borderId="0" xfId="0" applyFont="1" applyFill="1" applyAlignment="1">
      <alignment horizontal="left" vertical="center"/>
    </xf>
    <xf numFmtId="0" fontId="19" fillId="4" borderId="14" xfId="0" applyFont="1" applyFill="1" applyBorder="1" applyAlignment="1">
      <alignment horizontal="left" vertical="center"/>
    </xf>
    <xf numFmtId="0" fontId="2" fillId="8" borderId="9" xfId="0" applyFont="1" applyFill="1" applyBorder="1" applyAlignment="1">
      <alignment vertical="center"/>
    </xf>
    <xf numFmtId="0" fontId="12" fillId="12" borderId="12" xfId="0" applyFont="1" applyFill="1" applyBorder="1" applyAlignment="1">
      <alignment horizontal="center" vertical="center"/>
    </xf>
    <xf numFmtId="0" fontId="12" fillId="12" borderId="12" xfId="0" applyFont="1" applyFill="1" applyBorder="1" applyAlignment="1">
      <alignment horizontal="left" vertical="center"/>
    </xf>
    <xf numFmtId="0" fontId="13" fillId="12" borderId="12" xfId="0" applyFont="1" applyFill="1" applyBorder="1" applyAlignment="1">
      <alignment horizontal="center" vertical="center"/>
    </xf>
    <xf numFmtId="0" fontId="19" fillId="23" borderId="14" xfId="0" applyFont="1" applyFill="1" applyBorder="1"/>
    <xf numFmtId="0" fontId="2" fillId="0" borderId="0" xfId="0" applyFont="1"/>
    <xf numFmtId="0" fontId="2" fillId="17" borderId="9" xfId="0" applyFont="1" applyFill="1" applyBorder="1"/>
    <xf numFmtId="0" fontId="2" fillId="23" borderId="6" xfId="0" applyFont="1" applyFill="1" applyBorder="1"/>
    <xf numFmtId="169" fontId="0" fillId="23" borderId="4" xfId="0" applyNumberFormat="1" applyFill="1" applyBorder="1"/>
    <xf numFmtId="43" fontId="10" fillId="2" borderId="0" xfId="1" applyFont="1" applyFill="1"/>
    <xf numFmtId="15" fontId="6" fillId="23" borderId="14" xfId="0" applyNumberFormat="1" applyFont="1" applyFill="1" applyBorder="1" applyAlignment="1">
      <alignment horizontal="right" vertical="center"/>
    </xf>
    <xf numFmtId="0" fontId="6" fillId="23" borderId="14" xfId="0" applyFont="1" applyFill="1" applyBorder="1" applyAlignment="1">
      <alignment horizontal="center" vertical="center"/>
    </xf>
    <xf numFmtId="0" fontId="0" fillId="23" borderId="14" xfId="0" applyFill="1" applyBorder="1" applyAlignment="1">
      <alignment horizontal="center"/>
    </xf>
    <xf numFmtId="0" fontId="107" fillId="25" borderId="9" xfId="0" applyFont="1" applyFill="1" applyBorder="1" applyAlignment="1">
      <alignment horizontal="center" vertical="center" wrapText="1"/>
    </xf>
    <xf numFmtId="0" fontId="108" fillId="25" borderId="9" xfId="0" applyFont="1" applyFill="1" applyBorder="1" applyAlignment="1">
      <alignment horizontal="center" vertical="center" wrapText="1"/>
    </xf>
    <xf numFmtId="0" fontId="107" fillId="25" borderId="17" xfId="0" applyFont="1" applyFill="1" applyBorder="1" applyAlignment="1">
      <alignment horizontal="center" vertical="center" wrapText="1"/>
    </xf>
    <xf numFmtId="0" fontId="0" fillId="27" borderId="0" xfId="0" applyFill="1"/>
    <xf numFmtId="0" fontId="2" fillId="27" borderId="0" xfId="0" applyFont="1" applyFill="1"/>
    <xf numFmtId="0" fontId="0" fillId="26" borderId="9" xfId="0" applyFill="1" applyBorder="1" applyAlignment="1">
      <alignment horizontal="center"/>
    </xf>
    <xf numFmtId="0" fontId="0" fillId="19" borderId="9" xfId="0" applyFill="1" applyBorder="1" applyAlignment="1">
      <alignment horizontal="center"/>
    </xf>
    <xf numFmtId="0" fontId="0" fillId="28" borderId="9" xfId="0" applyFill="1" applyBorder="1" applyAlignment="1">
      <alignment horizontal="center"/>
    </xf>
    <xf numFmtId="0" fontId="0" fillId="28" borderId="10" xfId="0" applyFill="1" applyBorder="1" applyAlignment="1">
      <alignment horizontal="center"/>
    </xf>
    <xf numFmtId="0" fontId="0" fillId="29" borderId="10" xfId="0" applyFill="1" applyBorder="1" applyAlignment="1">
      <alignment horizontal="center"/>
    </xf>
    <xf numFmtId="0" fontId="0" fillId="30" borderId="10" xfId="0" applyFill="1" applyBorder="1" applyAlignment="1">
      <alignment horizontal="center"/>
    </xf>
    <xf numFmtId="2" fontId="31" fillId="31" borderId="4" xfId="0" applyNumberFormat="1" applyFont="1" applyFill="1" applyBorder="1" applyAlignment="1">
      <alignment horizontal="center" vertical="center"/>
    </xf>
    <xf numFmtId="0" fontId="31" fillId="31" borderId="6" xfId="0" applyFont="1" applyFill="1" applyBorder="1" applyAlignment="1">
      <alignment horizontal="left" vertical="center"/>
    </xf>
    <xf numFmtId="0" fontId="10" fillId="31" borderId="37" xfId="0" applyFont="1" applyFill="1" applyBorder="1" applyAlignment="1">
      <alignment horizontal="center" vertical="center"/>
    </xf>
    <xf numFmtId="2" fontId="10" fillId="31" borderId="9" xfId="0" applyNumberFormat="1" applyFont="1" applyFill="1" applyBorder="1" applyAlignment="1">
      <alignment horizontal="center" vertical="center"/>
    </xf>
    <xf numFmtId="169" fontId="10" fillId="31" borderId="9" xfId="0" applyNumberFormat="1" applyFont="1" applyFill="1" applyBorder="1" applyAlignment="1">
      <alignment horizontal="center" vertical="center"/>
    </xf>
    <xf numFmtId="0" fontId="10" fillId="31" borderId="9" xfId="0" applyFont="1" applyFill="1" applyBorder="1" applyAlignment="1">
      <alignment horizontal="center" vertical="center"/>
    </xf>
    <xf numFmtId="169" fontId="10" fillId="31" borderId="41" xfId="0" applyNumberFormat="1" applyFont="1" applyFill="1" applyBorder="1" applyAlignment="1">
      <alignment horizontal="center" vertical="center"/>
    </xf>
    <xf numFmtId="167" fontId="10" fillId="31" borderId="9" xfId="0" applyNumberFormat="1" applyFont="1" applyFill="1" applyBorder="1" applyAlignment="1">
      <alignment horizontal="center" vertical="center"/>
    </xf>
    <xf numFmtId="4" fontId="10" fillId="31" borderId="9" xfId="0" applyNumberFormat="1" applyFont="1" applyFill="1" applyBorder="1" applyAlignment="1">
      <alignment horizontal="center" vertical="center"/>
    </xf>
    <xf numFmtId="187" fontId="10" fillId="31" borderId="9" xfId="3" applyNumberFormat="1" applyFont="1" applyFill="1" applyBorder="1" applyAlignment="1">
      <alignment horizontal="center" vertical="center"/>
    </xf>
    <xf numFmtId="0" fontId="111" fillId="23" borderId="14" xfId="0" applyFont="1" applyFill="1" applyBorder="1"/>
    <xf numFmtId="0" fontId="0" fillId="32" borderId="0" xfId="0" applyFill="1"/>
    <xf numFmtId="0" fontId="113" fillId="26" borderId="9" xfId="0" applyFont="1" applyFill="1" applyBorder="1" applyAlignment="1">
      <alignment horizontal="center"/>
    </xf>
    <xf numFmtId="0" fontId="110" fillId="25" borderId="11" xfId="0" applyFont="1" applyFill="1" applyBorder="1" applyAlignment="1">
      <alignment horizontal="center" wrapText="1"/>
    </xf>
    <xf numFmtId="0" fontId="107" fillId="25" borderId="12" xfId="0" applyFont="1" applyFill="1" applyBorder="1" applyAlignment="1">
      <alignment horizontal="center" vertical="center" wrapText="1"/>
    </xf>
    <xf numFmtId="0" fontId="109" fillId="27" borderId="9" xfId="0" applyFont="1" applyFill="1" applyBorder="1"/>
    <xf numFmtId="0" fontId="109" fillId="27" borderId="9" xfId="0" applyFont="1" applyFill="1" applyBorder="1" applyAlignment="1">
      <alignment horizontal="center"/>
    </xf>
    <xf numFmtId="0" fontId="109" fillId="27" borderId="10" xfId="0" applyFont="1" applyFill="1" applyBorder="1" applyAlignment="1">
      <alignment horizontal="center"/>
    </xf>
    <xf numFmtId="0" fontId="109" fillId="27" borderId="4" xfId="0" applyFont="1" applyFill="1" applyBorder="1"/>
    <xf numFmtId="0" fontId="109" fillId="26" borderId="9" xfId="0" applyFont="1" applyFill="1" applyBorder="1"/>
    <xf numFmtId="0" fontId="114" fillId="26" borderId="9" xfId="0" applyFont="1" applyFill="1" applyBorder="1" applyAlignment="1">
      <alignment horizontal="center"/>
    </xf>
    <xf numFmtId="0" fontId="115" fillId="26" borderId="9" xfId="0" applyFont="1" applyFill="1" applyBorder="1" applyAlignment="1">
      <alignment horizontal="center"/>
    </xf>
    <xf numFmtId="0" fontId="6" fillId="27" borderId="0" xfId="0" applyFont="1" applyFill="1"/>
    <xf numFmtId="0" fontId="6" fillId="23" borderId="9" xfId="0" applyFont="1" applyFill="1" applyBorder="1"/>
    <xf numFmtId="0" fontId="10" fillId="4" borderId="9" xfId="0" applyFont="1" applyFill="1" applyBorder="1" applyAlignment="1">
      <alignment horizontal="left" vertical="center"/>
    </xf>
    <xf numFmtId="0" fontId="5" fillId="4" borderId="9" xfId="0" applyFont="1" applyFill="1" applyBorder="1" applyAlignment="1">
      <alignment horizontal="left" vertical="center"/>
    </xf>
    <xf numFmtId="0" fontId="5" fillId="23" borderId="0" xfId="0" applyFont="1" applyFill="1"/>
    <xf numFmtId="0" fontId="2" fillId="0" borderId="9" xfId="0" applyFont="1" applyBorder="1" applyAlignment="1">
      <alignment horizontal="center" vertical="center"/>
    </xf>
    <xf numFmtId="1" fontId="40" fillId="19" borderId="9" xfId="0" applyNumberFormat="1" applyFont="1" applyFill="1" applyBorder="1"/>
    <xf numFmtId="1" fontId="40" fillId="19" borderId="9" xfId="0" applyNumberFormat="1" applyFont="1" applyFill="1" applyBorder="1" applyAlignment="1">
      <alignment horizontal="center"/>
    </xf>
    <xf numFmtId="167" fontId="40" fillId="19" borderId="9" xfId="0" applyNumberFormat="1" applyFont="1" applyFill="1" applyBorder="1" applyAlignment="1">
      <alignment horizontal="center"/>
    </xf>
    <xf numFmtId="168" fontId="40" fillId="19" borderId="9" xfId="0" applyNumberFormat="1" applyFont="1" applyFill="1" applyBorder="1" applyAlignment="1">
      <alignment horizontal="center"/>
    </xf>
    <xf numFmtId="0" fontId="40" fillId="27" borderId="9" xfId="0" applyFont="1" applyFill="1" applyBorder="1"/>
    <xf numFmtId="0" fontId="116" fillId="19" borderId="9" xfId="0" applyFont="1" applyFill="1" applyBorder="1" applyAlignment="1">
      <alignment horizontal="center"/>
    </xf>
    <xf numFmtId="0" fontId="116" fillId="19" borderId="12" xfId="0" applyFont="1" applyFill="1" applyBorder="1" applyAlignment="1">
      <alignment horizontal="center"/>
    </xf>
    <xf numFmtId="0" fontId="40" fillId="19" borderId="9" xfId="0" applyFont="1" applyFill="1" applyBorder="1" applyAlignment="1">
      <alignment horizontal="center" vertical="center"/>
    </xf>
    <xf numFmtId="169" fontId="40" fillId="19" borderId="9" xfId="0" applyNumberFormat="1" applyFont="1" applyFill="1" applyBorder="1" applyAlignment="1">
      <alignment horizontal="center" vertical="center"/>
    </xf>
    <xf numFmtId="0" fontId="116" fillId="28" borderId="9" xfId="0" applyFont="1" applyFill="1" applyBorder="1"/>
    <xf numFmtId="1" fontId="40" fillId="28" borderId="9" xfId="0" applyNumberFormat="1" applyFont="1" applyFill="1" applyBorder="1" applyAlignment="1">
      <alignment horizontal="center"/>
    </xf>
    <xf numFmtId="0" fontId="116" fillId="28" borderId="9" xfId="0" applyFont="1" applyFill="1" applyBorder="1" applyAlignment="1">
      <alignment horizontal="center"/>
    </xf>
    <xf numFmtId="0" fontId="40" fillId="28" borderId="9" xfId="0" applyFont="1" applyFill="1" applyBorder="1" applyAlignment="1">
      <alignment horizontal="center"/>
    </xf>
    <xf numFmtId="169" fontId="40" fillId="28" borderId="9" xfId="0" applyNumberFormat="1" applyFont="1" applyFill="1" applyBorder="1" applyAlignment="1">
      <alignment horizontal="center"/>
    </xf>
    <xf numFmtId="169" fontId="116" fillId="28" borderId="9" xfId="0" applyNumberFormat="1" applyFont="1" applyFill="1" applyBorder="1" applyAlignment="1">
      <alignment horizontal="center"/>
    </xf>
    <xf numFmtId="0" fontId="116" fillId="28" borderId="10" xfId="0" applyFont="1" applyFill="1" applyBorder="1"/>
    <xf numFmtId="1" fontId="40" fillId="28" borderId="10" xfId="0" applyNumberFormat="1" applyFont="1" applyFill="1" applyBorder="1" applyAlignment="1">
      <alignment horizontal="center"/>
    </xf>
    <xf numFmtId="0" fontId="116" fillId="28" borderId="10" xfId="0" applyFont="1" applyFill="1" applyBorder="1" applyAlignment="1">
      <alignment horizontal="center"/>
    </xf>
    <xf numFmtId="0" fontId="116" fillId="28" borderId="10" xfId="0" applyFont="1" applyFill="1" applyBorder="1" applyAlignment="1">
      <alignment horizontal="center" vertical="center"/>
    </xf>
    <xf numFmtId="0" fontId="40" fillId="27" borderId="9" xfId="0" applyFont="1" applyFill="1" applyBorder="1" applyAlignment="1">
      <alignment horizontal="center"/>
    </xf>
    <xf numFmtId="169" fontId="40" fillId="27" borderId="9" xfId="0" applyNumberFormat="1" applyFont="1" applyFill="1" applyBorder="1" applyAlignment="1">
      <alignment horizontal="center"/>
    </xf>
    <xf numFmtId="169" fontId="116" fillId="28" borderId="10" xfId="0" applyNumberFormat="1" applyFont="1" applyFill="1" applyBorder="1" applyAlignment="1">
      <alignment horizontal="center"/>
    </xf>
    <xf numFmtId="2" fontId="40" fillId="28" borderId="9" xfId="0" applyNumberFormat="1" applyFont="1" applyFill="1" applyBorder="1" applyAlignment="1">
      <alignment horizontal="center" vertical="center"/>
    </xf>
    <xf numFmtId="0" fontId="40" fillId="28" borderId="9" xfId="0" applyFont="1" applyFill="1" applyBorder="1" applyAlignment="1">
      <alignment horizontal="center" vertical="center"/>
    </xf>
    <xf numFmtId="0" fontId="116" fillId="28" borderId="4" xfId="0" applyFont="1" applyFill="1" applyBorder="1"/>
    <xf numFmtId="0" fontId="116" fillId="28" borderId="9" xfId="0" applyFont="1" applyFill="1" applyBorder="1" applyAlignment="1">
      <alignment horizontal="center" vertical="center"/>
    </xf>
    <xf numFmtId="0" fontId="116" fillId="29" borderId="11" xfId="0" applyFont="1" applyFill="1" applyBorder="1"/>
    <xf numFmtId="1" fontId="40" fillId="29" borderId="11" xfId="0" applyNumberFormat="1" applyFont="1" applyFill="1" applyBorder="1" applyAlignment="1">
      <alignment horizontal="center"/>
    </xf>
    <xf numFmtId="2" fontId="116" fillId="29" borderId="11" xfId="0" applyNumberFormat="1" applyFont="1" applyFill="1" applyBorder="1" applyAlignment="1">
      <alignment horizontal="center"/>
    </xf>
    <xf numFmtId="168" fontId="116" fillId="29" borderId="11" xfId="0" applyNumberFormat="1" applyFont="1" applyFill="1" applyBorder="1" applyAlignment="1">
      <alignment horizontal="center" vertical="center"/>
    </xf>
    <xf numFmtId="0" fontId="40" fillId="29" borderId="9" xfId="0" applyFont="1" applyFill="1" applyBorder="1" applyAlignment="1">
      <alignment horizontal="center" vertical="center"/>
    </xf>
    <xf numFmtId="169" fontId="40" fillId="29" borderId="9" xfId="0" applyNumberFormat="1" applyFont="1" applyFill="1" applyBorder="1" applyAlignment="1">
      <alignment horizontal="center" vertical="center"/>
    </xf>
    <xf numFmtId="0" fontId="116" fillId="29" borderId="9" xfId="0" applyFont="1" applyFill="1" applyBorder="1" applyAlignment="1">
      <alignment horizontal="center"/>
    </xf>
    <xf numFmtId="169" fontId="116" fillId="29" borderId="9" xfId="0" applyNumberFormat="1" applyFont="1" applyFill="1" applyBorder="1" applyAlignment="1">
      <alignment horizontal="center"/>
    </xf>
    <xf numFmtId="0" fontId="40" fillId="30" borderId="9" xfId="0" applyFont="1" applyFill="1" applyBorder="1"/>
    <xf numFmtId="189" fontId="40" fillId="30" borderId="9" xfId="0" applyNumberFormat="1" applyFont="1" applyFill="1" applyBorder="1" applyAlignment="1">
      <alignment horizontal="center"/>
    </xf>
    <xf numFmtId="191" fontId="40" fillId="30" borderId="9" xfId="0" applyNumberFormat="1" applyFont="1" applyFill="1" applyBorder="1" applyAlignment="1">
      <alignment horizontal="center"/>
    </xf>
    <xf numFmtId="0" fontId="40" fillId="30" borderId="9" xfId="0" applyFont="1" applyFill="1" applyBorder="1" applyAlignment="1">
      <alignment horizontal="center"/>
    </xf>
    <xf numFmtId="168" fontId="40" fillId="30" borderId="9" xfId="0" applyNumberFormat="1" applyFont="1" applyFill="1" applyBorder="1" applyAlignment="1">
      <alignment horizontal="center"/>
    </xf>
    <xf numFmtId="169" fontId="40" fillId="30" borderId="9" xfId="0" applyNumberFormat="1" applyFont="1" applyFill="1" applyBorder="1" applyAlignment="1">
      <alignment horizontal="center"/>
    </xf>
    <xf numFmtId="0" fontId="116" fillId="30" borderId="12" xfId="0" applyFont="1" applyFill="1" applyBorder="1" applyAlignment="1">
      <alignment horizontal="center"/>
    </xf>
    <xf numFmtId="0" fontId="40" fillId="30" borderId="9" xfId="0" applyFont="1" applyFill="1" applyBorder="1" applyAlignment="1">
      <alignment horizontal="center" vertical="center"/>
    </xf>
    <xf numFmtId="169" fontId="40" fillId="30" borderId="9" xfId="0" applyNumberFormat="1" applyFont="1" applyFill="1" applyBorder="1" applyAlignment="1">
      <alignment horizontal="center" vertical="center"/>
    </xf>
    <xf numFmtId="0" fontId="116" fillId="30" borderId="9" xfId="0" applyFont="1" applyFill="1" applyBorder="1" applyAlignment="1">
      <alignment horizontal="center"/>
    </xf>
    <xf numFmtId="190" fontId="40" fillId="30" borderId="9" xfId="0" applyNumberFormat="1" applyFont="1" applyFill="1" applyBorder="1" applyAlignment="1">
      <alignment horizontal="center"/>
    </xf>
    <xf numFmtId="0" fontId="40" fillId="30" borderId="4" xfId="0" applyFont="1" applyFill="1" applyBorder="1"/>
    <xf numFmtId="2" fontId="40" fillId="30" borderId="9" xfId="0" applyNumberFormat="1" applyFont="1" applyFill="1" applyBorder="1" applyAlignment="1">
      <alignment horizontal="center" vertical="center"/>
    </xf>
    <xf numFmtId="0" fontId="2" fillId="23" borderId="5" xfId="0" applyFont="1" applyFill="1" applyBorder="1" applyAlignment="1">
      <alignment horizontal="center"/>
    </xf>
    <xf numFmtId="0" fontId="2" fillId="23" borderId="9" xfId="0" applyFont="1" applyFill="1" applyBorder="1" applyAlignment="1">
      <alignment horizontal="center"/>
    </xf>
    <xf numFmtId="167" fontId="2" fillId="23" borderId="9" xfId="0" applyNumberFormat="1" applyFont="1" applyFill="1" applyBorder="1" applyAlignment="1">
      <alignment horizontal="center"/>
    </xf>
    <xf numFmtId="168" fontId="2" fillId="23" borderId="9" xfId="0" applyNumberFormat="1" applyFont="1" applyFill="1" applyBorder="1" applyAlignment="1">
      <alignment horizontal="center"/>
    </xf>
    <xf numFmtId="0" fontId="2" fillId="27" borderId="0" xfId="0" applyFont="1" applyFill="1" applyAlignment="1">
      <alignment horizontal="center"/>
    </xf>
    <xf numFmtId="0" fontId="5" fillId="4" borderId="9" xfId="0" applyFont="1" applyFill="1" applyBorder="1"/>
    <xf numFmtId="0" fontId="6" fillId="23" borderId="9" xfId="0" applyFont="1" applyFill="1" applyBorder="1" applyAlignment="1">
      <alignment horizontal="center" vertical="center"/>
    </xf>
    <xf numFmtId="0" fontId="0" fillId="27" borderId="15" xfId="0" applyFill="1" applyBorder="1"/>
    <xf numFmtId="0" fontId="5" fillId="4" borderId="9" xfId="0" applyFont="1" applyFill="1" applyBorder="1" applyAlignment="1">
      <alignment vertical="center"/>
    </xf>
    <xf numFmtId="0" fontId="6" fillId="7" borderId="9" xfId="0" applyFont="1" applyFill="1" applyBorder="1" applyAlignment="1">
      <alignment horizontal="center" vertical="center"/>
    </xf>
    <xf numFmtId="0" fontId="2" fillId="21" borderId="0" xfId="2" applyFont="1" applyFill="1" applyAlignment="1">
      <alignment horizontal="center" vertical="center"/>
    </xf>
    <xf numFmtId="0" fontId="98" fillId="0" borderId="0" xfId="0" applyFont="1"/>
    <xf numFmtId="0" fontId="0" fillId="0" borderId="9" xfId="0" applyBorder="1" applyAlignment="1">
      <alignment wrapText="1"/>
    </xf>
    <xf numFmtId="0" fontId="69" fillId="0" borderId="9" xfId="0" applyFont="1" applyBorder="1"/>
    <xf numFmtId="0" fontId="2" fillId="0" borderId="9" xfId="0" applyFont="1" applyBorder="1"/>
    <xf numFmtId="0" fontId="98" fillId="22" borderId="1" xfId="0" applyFont="1" applyFill="1" applyBorder="1" applyAlignment="1">
      <alignment horizontal="center"/>
    </xf>
    <xf numFmtId="192" fontId="12" fillId="6" borderId="1" xfId="0" applyNumberFormat="1" applyFont="1" applyFill="1" applyBorder="1" applyAlignment="1">
      <alignment horizontal="center"/>
    </xf>
    <xf numFmtId="0" fontId="118" fillId="5" borderId="0" xfId="0" applyFont="1" applyFill="1"/>
    <xf numFmtId="0" fontId="5" fillId="5" borderId="0" xfId="0" applyFont="1" applyFill="1"/>
    <xf numFmtId="0" fontId="51" fillId="3" borderId="0" xfId="0" applyFont="1" applyFill="1" applyAlignment="1">
      <alignment horizontal="centerContinuous"/>
    </xf>
    <xf numFmtId="0" fontId="10" fillId="3" borderId="0" xfId="0" applyFont="1" applyFill="1" applyAlignment="1">
      <alignment horizontal="centerContinuous"/>
    </xf>
    <xf numFmtId="0" fontId="0" fillId="33" borderId="19" xfId="0" applyFill="1" applyBorder="1"/>
    <xf numFmtId="0" fontId="0" fillId="33" borderId="20" xfId="0" applyFill="1" applyBorder="1"/>
    <xf numFmtId="0" fontId="0" fillId="33" borderId="51" xfId="0" applyFill="1" applyBorder="1"/>
    <xf numFmtId="0" fontId="0" fillId="33" borderId="26" xfId="0" applyFill="1" applyBorder="1"/>
    <xf numFmtId="0" fontId="0" fillId="33" borderId="0" xfId="0" applyFill="1"/>
    <xf numFmtId="0" fontId="0" fillId="33" borderId="23" xfId="0" applyFill="1" applyBorder="1"/>
    <xf numFmtId="0" fontId="2" fillId="3" borderId="0" xfId="0" applyFont="1" applyFill="1" applyAlignment="1">
      <alignment horizontal="left"/>
    </xf>
    <xf numFmtId="39" fontId="2" fillId="3" borderId="0" xfId="1" applyNumberFormat="1" applyFont="1" applyFill="1" applyAlignment="1">
      <alignment horizontal="center"/>
    </xf>
    <xf numFmtId="3" fontId="9" fillId="0" borderId="10" xfId="0" applyNumberFormat="1" applyFont="1" applyBorder="1" applyAlignment="1">
      <alignment horizontal="center"/>
    </xf>
    <xf numFmtId="0" fontId="9" fillId="0" borderId="12" xfId="0" applyFont="1" applyBorder="1" applyAlignment="1">
      <alignment horizontal="center"/>
    </xf>
    <xf numFmtId="165" fontId="0" fillId="3" borderId="0" xfId="0" applyNumberFormat="1" applyFill="1" applyAlignment="1">
      <alignment horizontal="center"/>
    </xf>
    <xf numFmtId="2" fontId="9" fillId="0" borderId="10" xfId="0" applyNumberFormat="1" applyFont="1" applyBorder="1" applyAlignment="1">
      <alignment horizontal="center"/>
    </xf>
    <xf numFmtId="169" fontId="9" fillId="0" borderId="11" xfId="0" applyNumberFormat="1" applyFont="1" applyBorder="1" applyAlignment="1">
      <alignment horizontal="center"/>
    </xf>
    <xf numFmtId="2" fontId="9" fillId="0" borderId="12" xfId="0" applyNumberFormat="1" applyFont="1" applyBorder="1" applyAlignment="1">
      <alignment horizontal="center"/>
    </xf>
    <xf numFmtId="2" fontId="2" fillId="3" borderId="0" xfId="0" applyNumberFormat="1" applyFont="1" applyFill="1" applyAlignment="1">
      <alignment horizontal="center"/>
    </xf>
    <xf numFmtId="2" fontId="0" fillId="3" borderId="0" xfId="0" applyNumberFormat="1" applyFill="1" applyAlignment="1">
      <alignment horizontal="center"/>
    </xf>
    <xf numFmtId="167" fontId="0" fillId="3" borderId="0" xfId="0" applyNumberFormat="1" applyFill="1" applyAlignment="1">
      <alignment horizontal="center"/>
    </xf>
    <xf numFmtId="0" fontId="8" fillId="3" borderId="0" xfId="0" applyFont="1" applyFill="1" applyAlignment="1">
      <alignment horizontal="center"/>
    </xf>
    <xf numFmtId="0" fontId="2" fillId="33" borderId="0" xfId="0" applyFont="1" applyFill="1"/>
    <xf numFmtId="0" fontId="0" fillId="33" borderId="13" xfId="0" applyFill="1" applyBorder="1"/>
    <xf numFmtId="0" fontId="0" fillId="33" borderId="14" xfId="0" applyFill="1" applyBorder="1"/>
    <xf numFmtId="0" fontId="0" fillId="33" borderId="21" xfId="0" applyFill="1" applyBorder="1"/>
    <xf numFmtId="170" fontId="6" fillId="6" borderId="18" xfId="1" applyNumberFormat="1" applyFont="1" applyFill="1" applyBorder="1"/>
    <xf numFmtId="0" fontId="6" fillId="6" borderId="8" xfId="0" applyFont="1" applyFill="1" applyBorder="1" applyAlignment="1">
      <alignment horizontal="left"/>
    </xf>
    <xf numFmtId="169" fontId="8" fillId="5" borderId="1" xfId="0" applyNumberFormat="1" applyFont="1" applyFill="1" applyBorder="1" applyAlignment="1">
      <alignment horizontal="center"/>
    </xf>
    <xf numFmtId="0" fontId="6" fillId="3" borderId="0" xfId="0" applyFont="1" applyFill="1" applyAlignment="1">
      <alignment horizontal="left"/>
    </xf>
    <xf numFmtId="0" fontId="0" fillId="5" borderId="0" xfId="0" applyFill="1" applyAlignment="1">
      <alignment horizontal="center"/>
    </xf>
    <xf numFmtId="169" fontId="0" fillId="5" borderId="0" xfId="0" applyNumberFormat="1" applyFill="1" applyAlignment="1">
      <alignment horizontal="center"/>
    </xf>
    <xf numFmtId="1" fontId="0" fillId="5" borderId="0" xfId="0" applyNumberFormat="1" applyFill="1" applyAlignment="1">
      <alignment horizontal="center"/>
    </xf>
    <xf numFmtId="170" fontId="0" fillId="5" borderId="0" xfId="1" applyNumberFormat="1" applyFont="1" applyFill="1"/>
    <xf numFmtId="0" fontId="0" fillId="34" borderId="18" xfId="0" applyFill="1" applyBorder="1"/>
    <xf numFmtId="0" fontId="0" fillId="34" borderId="7" xfId="0" applyFill="1" applyBorder="1"/>
    <xf numFmtId="0" fontId="0" fillId="34" borderId="8" xfId="0" applyFill="1" applyBorder="1"/>
    <xf numFmtId="0" fontId="40" fillId="4" borderId="18" xfId="0" applyFont="1" applyFill="1" applyBorder="1"/>
    <xf numFmtId="0" fontId="0" fillId="4" borderId="55" xfId="0" applyFill="1" applyBorder="1"/>
    <xf numFmtId="0" fontId="2" fillId="6" borderId="8" xfId="0" applyFont="1" applyFill="1" applyBorder="1"/>
    <xf numFmtId="0" fontId="2" fillId="4" borderId="18" xfId="0" applyFont="1" applyFill="1" applyBorder="1"/>
    <xf numFmtId="0" fontId="9" fillId="5" borderId="8" xfId="0" applyFont="1" applyFill="1" applyBorder="1"/>
    <xf numFmtId="0" fontId="0" fillId="4" borderId="18" xfId="0" applyFill="1" applyBorder="1"/>
    <xf numFmtId="2" fontId="2" fillId="6" borderId="7" xfId="0" applyNumberFormat="1" applyFont="1" applyFill="1" applyBorder="1"/>
    <xf numFmtId="0" fontId="0" fillId="4" borderId="56" xfId="0" applyFill="1" applyBorder="1"/>
    <xf numFmtId="0" fontId="9" fillId="5" borderId="4" xfId="0" applyFont="1" applyFill="1" applyBorder="1" applyAlignment="1">
      <alignment horizontal="center"/>
    </xf>
    <xf numFmtId="169" fontId="0" fillId="5" borderId="5" xfId="0" applyNumberFormat="1" applyFill="1" applyBorder="1" applyAlignment="1">
      <alignment horizontal="center"/>
    </xf>
    <xf numFmtId="0" fontId="9" fillId="5" borderId="5" xfId="0" applyFont="1" applyFill="1" applyBorder="1" applyAlignment="1">
      <alignment horizontal="center"/>
    </xf>
    <xf numFmtId="170" fontId="0" fillId="5" borderId="5" xfId="1" applyNumberFormat="1" applyFont="1" applyFill="1" applyBorder="1"/>
    <xf numFmtId="169" fontId="0" fillId="5" borderId="5" xfId="0" applyNumberFormat="1" applyFill="1" applyBorder="1"/>
    <xf numFmtId="0" fontId="0" fillId="5" borderId="5" xfId="0" applyFill="1" applyBorder="1"/>
    <xf numFmtId="0" fontId="15" fillId="5" borderId="5" xfId="0" applyFont="1" applyFill="1" applyBorder="1"/>
    <xf numFmtId="0" fontId="0" fillId="5" borderId="6" xfId="0" applyFill="1" applyBorder="1"/>
    <xf numFmtId="0" fontId="0" fillId="3" borderId="14" xfId="0" applyFill="1" applyBorder="1"/>
    <xf numFmtId="164" fontId="16" fillId="6" borderId="4" xfId="1" applyNumberFormat="1" applyFont="1" applyFill="1" applyBorder="1"/>
    <xf numFmtId="0" fontId="11" fillId="3" borderId="4" xfId="0" applyFont="1" applyFill="1" applyBorder="1" applyAlignment="1">
      <alignment horizontal="left"/>
    </xf>
    <xf numFmtId="0" fontId="0" fillId="3" borderId="6" xfId="0" applyFill="1" applyBorder="1"/>
    <xf numFmtId="0" fontId="16" fillId="6" borderId="6" xfId="0" applyFont="1" applyFill="1" applyBorder="1" applyAlignment="1">
      <alignment horizontal="center" vertical="center"/>
    </xf>
    <xf numFmtId="0" fontId="2" fillId="21" borderId="0" xfId="0" applyFont="1" applyFill="1"/>
    <xf numFmtId="0" fontId="103" fillId="22" borderId="6" xfId="0" applyFont="1" applyFill="1" applyBorder="1" applyAlignment="1">
      <alignment horizontal="left" vertical="center"/>
    </xf>
    <xf numFmtId="2" fontId="8" fillId="5" borderId="8" xfId="1" applyNumberFormat="1" applyFont="1" applyFill="1" applyBorder="1" applyAlignment="1">
      <alignment horizontal="center"/>
    </xf>
    <xf numFmtId="2" fontId="8" fillId="5" borderId="8" xfId="0" applyNumberFormat="1" applyFont="1" applyFill="1" applyBorder="1" applyAlignment="1">
      <alignment horizontal="center"/>
    </xf>
    <xf numFmtId="0" fontId="2" fillId="5" borderId="0" xfId="0" applyFont="1" applyFill="1" applyAlignment="1">
      <alignment horizontal="center"/>
    </xf>
    <xf numFmtId="0" fontId="43" fillId="4" borderId="18" xfId="0" applyFont="1" applyFill="1" applyBorder="1"/>
    <xf numFmtId="168" fontId="2" fillId="6" borderId="7" xfId="0" applyNumberFormat="1" applyFont="1" applyFill="1" applyBorder="1"/>
    <xf numFmtId="0" fontId="22" fillId="5" borderId="0" xfId="0" applyFont="1" applyFill="1"/>
    <xf numFmtId="0" fontId="13" fillId="2" borderId="0" xfId="0" applyFont="1" applyFill="1"/>
    <xf numFmtId="169" fontId="8" fillId="5" borderId="1" xfId="0" applyNumberFormat="1" applyFont="1" applyFill="1" applyBorder="1" applyAlignment="1">
      <alignment horizontal="center" vertical="center"/>
    </xf>
    <xf numFmtId="0" fontId="2" fillId="2" borderId="0" xfId="0" applyFont="1" applyFill="1" applyAlignment="1">
      <alignment horizontal="left"/>
    </xf>
    <xf numFmtId="167" fontId="6" fillId="23" borderId="1" xfId="0" applyNumberFormat="1" applyFont="1" applyFill="1" applyBorder="1" applyAlignment="1">
      <alignment horizontal="center" vertical="center"/>
    </xf>
    <xf numFmtId="169" fontId="123" fillId="23" borderId="1" xfId="0" applyNumberFormat="1" applyFont="1" applyFill="1" applyBorder="1" applyAlignment="1">
      <alignment horizontal="center" vertical="center"/>
    </xf>
    <xf numFmtId="168" fontId="123" fillId="31" borderId="1" xfId="0" applyNumberFormat="1" applyFont="1" applyFill="1" applyBorder="1" applyAlignment="1">
      <alignment horizontal="center" vertical="center"/>
    </xf>
    <xf numFmtId="167" fontId="8" fillId="5" borderId="1" xfId="0" applyNumberFormat="1" applyFont="1" applyFill="1" applyBorder="1" applyAlignment="1">
      <alignment horizontal="center" vertical="center"/>
    </xf>
    <xf numFmtId="176" fontId="123" fillId="31" borderId="1" xfId="0" applyNumberFormat="1" applyFont="1" applyFill="1" applyBorder="1" applyAlignment="1">
      <alignment horizontal="center" vertical="center"/>
    </xf>
    <xf numFmtId="0" fontId="0" fillId="2" borderId="32" xfId="0" applyFill="1" applyBorder="1"/>
    <xf numFmtId="0" fontId="6" fillId="2" borderId="15" xfId="0" applyFont="1" applyFill="1" applyBorder="1"/>
    <xf numFmtId="0" fontId="14" fillId="2" borderId="15" xfId="0" applyFont="1" applyFill="1" applyBorder="1"/>
    <xf numFmtId="0" fontId="14" fillId="2" borderId="0" xfId="0" applyFont="1" applyFill="1"/>
    <xf numFmtId="0" fontId="0" fillId="5" borderId="19" xfId="0" applyFill="1" applyBorder="1"/>
    <xf numFmtId="0" fontId="0" fillId="5" borderId="20" xfId="0" applyFill="1" applyBorder="1"/>
    <xf numFmtId="0" fontId="0" fillId="5" borderId="51" xfId="0" applyFill="1" applyBorder="1"/>
    <xf numFmtId="0" fontId="6" fillId="5" borderId="13" xfId="0" applyFont="1" applyFill="1" applyBorder="1"/>
    <xf numFmtId="0" fontId="2" fillId="5" borderId="14" xfId="0" applyFont="1" applyFill="1" applyBorder="1"/>
    <xf numFmtId="0" fontId="126" fillId="5" borderId="14" xfId="0" applyFont="1" applyFill="1" applyBorder="1"/>
    <xf numFmtId="0" fontId="2" fillId="5" borderId="21" xfId="0" applyFont="1" applyFill="1" applyBorder="1"/>
    <xf numFmtId="2" fontId="6" fillId="8" borderId="29" xfId="0" applyNumberFormat="1" applyFont="1" applyFill="1" applyBorder="1"/>
    <xf numFmtId="165" fontId="6" fillId="8" borderId="29" xfId="0" applyNumberFormat="1" applyFont="1" applyFill="1" applyBorder="1"/>
    <xf numFmtId="169" fontId="6" fillId="8" borderId="29" xfId="0" applyNumberFormat="1" applyFont="1" applyFill="1" applyBorder="1"/>
    <xf numFmtId="169" fontId="6" fillId="34" borderId="29" xfId="0" applyNumberFormat="1" applyFont="1" applyFill="1" applyBorder="1"/>
    <xf numFmtId="0" fontId="0" fillId="8" borderId="29" xfId="0" applyFill="1" applyBorder="1"/>
    <xf numFmtId="0" fontId="2" fillId="13" borderId="22" xfId="0" applyFont="1" applyFill="1" applyBorder="1"/>
    <xf numFmtId="0" fontId="124" fillId="27" borderId="26" xfId="0" applyFont="1" applyFill="1" applyBorder="1"/>
    <xf numFmtId="0" fontId="125" fillId="27" borderId="0" xfId="0" applyFont="1" applyFill="1"/>
    <xf numFmtId="0" fontId="127" fillId="27" borderId="26" xfId="0" applyFont="1" applyFill="1" applyBorder="1" applyAlignment="1">
      <alignment horizontal="center" vertical="center"/>
    </xf>
    <xf numFmtId="193" fontId="121" fillId="27" borderId="0" xfId="0" applyNumberFormat="1" applyFont="1" applyFill="1" applyAlignment="1">
      <alignment horizontal="center" vertical="center"/>
    </xf>
    <xf numFmtId="167" fontId="6" fillId="8" borderId="0" xfId="0" applyNumberFormat="1" applyFont="1" applyFill="1"/>
    <xf numFmtId="0" fontId="0" fillId="8" borderId="23" xfId="0" applyFill="1" applyBorder="1"/>
    <xf numFmtId="0" fontId="0" fillId="8" borderId="0" xfId="0" applyFill="1"/>
    <xf numFmtId="0" fontId="121" fillId="27" borderId="26" xfId="0" applyFont="1" applyFill="1" applyBorder="1" applyAlignment="1">
      <alignment horizontal="center" vertical="center"/>
    </xf>
    <xf numFmtId="0" fontId="121" fillId="27" borderId="0" xfId="0" applyFont="1" applyFill="1" applyAlignment="1">
      <alignment horizontal="center" vertical="center"/>
    </xf>
    <xf numFmtId="0" fontId="121" fillId="27" borderId="13" xfId="0" applyFont="1" applyFill="1" applyBorder="1" applyAlignment="1">
      <alignment horizontal="center" vertical="center"/>
    </xf>
    <xf numFmtId="193" fontId="121" fillId="27" borderId="14" xfId="0" applyNumberFormat="1" applyFont="1" applyFill="1" applyBorder="1" applyAlignment="1">
      <alignment horizontal="center" vertical="center"/>
    </xf>
    <xf numFmtId="0" fontId="121" fillId="27" borderId="14" xfId="0" applyFont="1" applyFill="1" applyBorder="1" applyAlignment="1">
      <alignment horizontal="center" vertical="center"/>
    </xf>
    <xf numFmtId="0" fontId="0" fillId="8" borderId="57" xfId="0" applyFill="1" applyBorder="1"/>
    <xf numFmtId="0" fontId="0" fillId="8" borderId="14" xfId="0" applyFill="1" applyBorder="1"/>
    <xf numFmtId="0" fontId="0" fillId="8" borderId="21" xfId="0" applyFill="1" applyBorder="1"/>
    <xf numFmtId="0" fontId="0" fillId="5" borderId="26" xfId="0" applyFill="1" applyBorder="1"/>
    <xf numFmtId="0" fontId="0" fillId="5" borderId="23" xfId="0" applyFill="1" applyBorder="1"/>
    <xf numFmtId="167" fontId="6" fillId="8" borderId="0" xfId="0" applyNumberFormat="1" applyFont="1" applyFill="1" applyAlignment="1">
      <alignment horizontal="center"/>
    </xf>
    <xf numFmtId="0" fontId="0" fillId="8" borderId="0" xfId="0" applyFill="1" applyAlignment="1">
      <alignment horizontal="center"/>
    </xf>
    <xf numFmtId="0" fontId="0" fillId="8" borderId="14" xfId="0" applyFill="1" applyBorder="1" applyAlignment="1">
      <alignment horizontal="center"/>
    </xf>
    <xf numFmtId="0" fontId="126" fillId="5" borderId="14" xfId="0" applyFont="1" applyFill="1" applyBorder="1" applyAlignment="1">
      <alignment horizontal="center"/>
    </xf>
    <xf numFmtId="0" fontId="127" fillId="27" borderId="26" xfId="0" applyFont="1" applyFill="1" applyBorder="1" applyAlignment="1">
      <alignment horizontal="center"/>
    </xf>
    <xf numFmtId="193" fontId="121" fillId="27" borderId="0" xfId="0" applyNumberFormat="1" applyFont="1" applyFill="1" applyAlignment="1">
      <alignment horizontal="center"/>
    </xf>
    <xf numFmtId="0" fontId="121" fillId="27" borderId="26" xfId="0" applyFont="1" applyFill="1" applyBorder="1" applyAlignment="1">
      <alignment horizontal="center"/>
    </xf>
    <xf numFmtId="0" fontId="121" fillId="27" borderId="0" xfId="0" applyFont="1" applyFill="1" applyAlignment="1">
      <alignment horizontal="center"/>
    </xf>
    <xf numFmtId="0" fontId="121" fillId="27" borderId="13" xfId="0" applyFont="1" applyFill="1" applyBorder="1" applyAlignment="1">
      <alignment horizontal="center"/>
    </xf>
    <xf numFmtId="193" fontId="121" fillId="27" borderId="14" xfId="0" applyNumberFormat="1" applyFont="1" applyFill="1" applyBorder="1" applyAlignment="1">
      <alignment horizontal="center"/>
    </xf>
    <xf numFmtId="0" fontId="121" fillId="27" borderId="14" xfId="0" applyFont="1" applyFill="1" applyBorder="1" applyAlignment="1">
      <alignment horizontal="center"/>
    </xf>
    <xf numFmtId="0" fontId="2" fillId="5" borderId="0" xfId="0" applyFont="1" applyFill="1"/>
    <xf numFmtId="2" fontId="8" fillId="5" borderId="3" xfId="2" applyNumberFormat="1" applyFont="1" applyFill="1" applyBorder="1" applyAlignment="1">
      <alignment horizontal="center" vertical="center"/>
    </xf>
    <xf numFmtId="0" fontId="0" fillId="6" borderId="17" xfId="0" applyFill="1" applyBorder="1" applyAlignment="1">
      <alignment horizontal="center"/>
    </xf>
    <xf numFmtId="0" fontId="11" fillId="3" borderId="9" xfId="0" applyFont="1" applyFill="1" applyBorder="1" applyAlignment="1">
      <alignment horizontal="center"/>
    </xf>
    <xf numFmtId="0" fontId="128" fillId="3" borderId="30" xfId="0" applyFont="1" applyFill="1" applyBorder="1" applyAlignment="1">
      <alignment horizontal="left"/>
    </xf>
    <xf numFmtId="0" fontId="11" fillId="3" borderId="12" xfId="0" applyFont="1" applyFill="1" applyBorder="1" applyAlignment="1">
      <alignment horizontal="center"/>
    </xf>
    <xf numFmtId="0" fontId="8" fillId="5" borderId="20" xfId="0" applyFont="1" applyFill="1" applyBorder="1" applyAlignment="1">
      <alignment horizontal="center"/>
    </xf>
    <xf numFmtId="0" fontId="0" fillId="34" borderId="9" xfId="0" applyFill="1" applyBorder="1" applyAlignment="1">
      <alignment horizontal="right"/>
    </xf>
    <xf numFmtId="2" fontId="129" fillId="22" borderId="1" xfId="0" applyNumberFormat="1" applyFont="1" applyFill="1" applyBorder="1" applyAlignment="1">
      <alignment horizontal="center"/>
    </xf>
    <xf numFmtId="178" fontId="10" fillId="2" borderId="0" xfId="0" applyNumberFormat="1" applyFont="1" applyFill="1" applyAlignment="1">
      <alignment horizontal="right"/>
    </xf>
    <xf numFmtId="0" fontId="13" fillId="6" borderId="8" xfId="0" applyFont="1" applyFill="1" applyBorder="1"/>
    <xf numFmtId="0" fontId="129" fillId="6" borderId="8" xfId="0" applyFont="1" applyFill="1" applyBorder="1"/>
    <xf numFmtId="0" fontId="129" fillId="6" borderId="21" xfId="0" applyFont="1" applyFill="1" applyBorder="1"/>
    <xf numFmtId="0" fontId="5" fillId="4" borderId="9" xfId="0" applyFont="1" applyFill="1" applyBorder="1" applyAlignment="1">
      <alignment horizontal="center" vertical="center"/>
    </xf>
    <xf numFmtId="168" fontId="6" fillId="6" borderId="7" xfId="0" applyNumberFormat="1" applyFont="1" applyFill="1" applyBorder="1"/>
    <xf numFmtId="2" fontId="12" fillId="31" borderId="9" xfId="0" applyNumberFormat="1" applyFont="1" applyFill="1" applyBorder="1"/>
    <xf numFmtId="0" fontId="2" fillId="0" borderId="0" xfId="0" quotePrefix="1" applyFont="1"/>
    <xf numFmtId="184" fontId="6" fillId="31" borderId="1" xfId="0" applyNumberFormat="1" applyFont="1" applyFill="1" applyBorder="1" applyAlignment="1">
      <alignment horizontal="center" vertical="center"/>
    </xf>
    <xf numFmtId="184" fontId="6" fillId="31" borderId="9" xfId="0" applyNumberFormat="1" applyFont="1" applyFill="1" applyBorder="1" applyAlignment="1">
      <alignment horizontal="center" vertical="center"/>
    </xf>
    <xf numFmtId="2" fontId="12" fillId="31" borderId="10" xfId="0" applyNumberFormat="1" applyFont="1" applyFill="1" applyBorder="1"/>
    <xf numFmtId="2" fontId="6" fillId="31" borderId="10" xfId="0" applyNumberFormat="1" applyFont="1" applyFill="1" applyBorder="1"/>
    <xf numFmtId="2" fontId="6" fillId="31" borderId="10" xfId="0" applyNumberFormat="1" applyFont="1" applyFill="1" applyBorder="1" applyAlignment="1">
      <alignment horizontal="right"/>
    </xf>
    <xf numFmtId="2" fontId="6" fillId="31" borderId="9" xfId="0" applyNumberFormat="1" applyFont="1" applyFill="1" applyBorder="1"/>
    <xf numFmtId="2" fontId="6" fillId="31" borderId="9" xfId="0" applyNumberFormat="1" applyFont="1" applyFill="1" applyBorder="1" applyAlignment="1">
      <alignment horizontal="right"/>
    </xf>
    <xf numFmtId="43" fontId="12" fillId="31" borderId="9" xfId="1" applyFont="1" applyFill="1" applyBorder="1"/>
    <xf numFmtId="164" fontId="12" fillId="31" borderId="9" xfId="0" applyNumberFormat="1" applyFont="1" applyFill="1" applyBorder="1"/>
    <xf numFmtId="2" fontId="6" fillId="31" borderId="3" xfId="2" applyNumberFormat="1" applyFont="1" applyFill="1" applyBorder="1" applyAlignment="1">
      <alignment horizontal="center" vertical="center"/>
    </xf>
    <xf numFmtId="0" fontId="0" fillId="3" borderId="30" xfId="0" applyFill="1" applyBorder="1"/>
    <xf numFmtId="0" fontId="0" fillId="3" borderId="16" xfId="0" applyFill="1" applyBorder="1"/>
    <xf numFmtId="0" fontId="0" fillId="5" borderId="32" xfId="0" applyFill="1" applyBorder="1"/>
    <xf numFmtId="0" fontId="0" fillId="5" borderId="15" xfId="0" applyFill="1" applyBorder="1"/>
    <xf numFmtId="0" fontId="0" fillId="5" borderId="17" xfId="0" applyFill="1" applyBorder="1"/>
    <xf numFmtId="2" fontId="129" fillId="6" borderId="7" xfId="0" applyNumberFormat="1" applyFont="1" applyFill="1" applyBorder="1"/>
    <xf numFmtId="2" fontId="129" fillId="6" borderId="14" xfId="0" applyNumberFormat="1" applyFont="1" applyFill="1" applyBorder="1"/>
    <xf numFmtId="0" fontId="2" fillId="5" borderId="15" xfId="0" applyFont="1" applyFill="1" applyBorder="1"/>
    <xf numFmtId="2" fontId="6" fillId="17" borderId="29" xfId="0" applyNumberFormat="1" applyFont="1" applyFill="1" applyBorder="1"/>
    <xf numFmtId="0" fontId="6" fillId="17" borderId="0" xfId="0" applyFont="1" applyFill="1"/>
    <xf numFmtId="167" fontId="6" fillId="17" borderId="0" xfId="0" applyNumberFormat="1" applyFont="1" applyFill="1" applyAlignment="1">
      <alignment horizontal="center"/>
    </xf>
    <xf numFmtId="0" fontId="0" fillId="17" borderId="23" xfId="0" applyFill="1" applyBorder="1"/>
    <xf numFmtId="169" fontId="6" fillId="17" borderId="29" xfId="0" applyNumberFormat="1" applyFont="1" applyFill="1" applyBorder="1"/>
    <xf numFmtId="167" fontId="6" fillId="17" borderId="0" xfId="0" applyNumberFormat="1" applyFont="1" applyFill="1"/>
    <xf numFmtId="0" fontId="11" fillId="35" borderId="0" xfId="0" applyFont="1" applyFill="1"/>
    <xf numFmtId="0" fontId="0" fillId="35" borderId="23" xfId="0" applyFill="1" applyBorder="1"/>
    <xf numFmtId="0" fontId="127" fillId="27" borderId="0" xfId="0" applyFont="1" applyFill="1" applyAlignment="1">
      <alignment horizontal="center" vertical="center"/>
    </xf>
    <xf numFmtId="2" fontId="16" fillId="17" borderId="4" xfId="0" applyNumberFormat="1" applyFont="1" applyFill="1" applyBorder="1"/>
    <xf numFmtId="0" fontId="6" fillId="17" borderId="5" xfId="0" applyFont="1" applyFill="1" applyBorder="1"/>
    <xf numFmtId="167" fontId="6" fillId="17" borderId="5" xfId="0" applyNumberFormat="1" applyFont="1" applyFill="1" applyBorder="1" applyAlignment="1">
      <alignment horizontal="center"/>
    </xf>
    <xf numFmtId="0" fontId="11" fillId="17" borderId="5" xfId="0" applyFont="1" applyFill="1" applyBorder="1"/>
    <xf numFmtId="0" fontId="0" fillId="17" borderId="6" xfId="0" applyFill="1" applyBorder="1"/>
    <xf numFmtId="167" fontId="6" fillId="17" borderId="5" xfId="0" applyNumberFormat="1" applyFont="1" applyFill="1" applyBorder="1"/>
    <xf numFmtId="0" fontId="11" fillId="35" borderId="0" xfId="0" applyFont="1" applyFill="1" applyAlignment="1">
      <alignment horizontal="center"/>
    </xf>
    <xf numFmtId="169" fontId="6" fillId="35" borderId="29" xfId="0" applyNumberFormat="1" applyFont="1" applyFill="1" applyBorder="1"/>
    <xf numFmtId="0" fontId="0" fillId="36" borderId="0" xfId="0" applyFill="1"/>
    <xf numFmtId="0" fontId="0" fillId="36" borderId="23" xfId="0" applyFill="1" applyBorder="1"/>
    <xf numFmtId="0" fontId="11" fillId="36" borderId="0" xfId="0" applyFont="1" applyFill="1"/>
    <xf numFmtId="0" fontId="2" fillId="4" borderId="18" xfId="0" applyFont="1" applyFill="1" applyBorder="1" applyAlignment="1">
      <alignment vertical="center"/>
    </xf>
    <xf numFmtId="0" fontId="0" fillId="2" borderId="19" xfId="0" applyFill="1" applyBorder="1"/>
    <xf numFmtId="0" fontId="0" fillId="2" borderId="20" xfId="0" applyFill="1" applyBorder="1"/>
    <xf numFmtId="0" fontId="0" fillId="2" borderId="51" xfId="0" applyFill="1" applyBorder="1"/>
    <xf numFmtId="0" fontId="0" fillId="2" borderId="26" xfId="0" applyFill="1" applyBorder="1"/>
    <xf numFmtId="0" fontId="0" fillId="2" borderId="23" xfId="0" applyFill="1" applyBorder="1"/>
    <xf numFmtId="0" fontId="0" fillId="2" borderId="13" xfId="0" applyFill="1" applyBorder="1"/>
    <xf numFmtId="0" fontId="0" fillId="2" borderId="14" xfId="0" applyFill="1" applyBorder="1"/>
    <xf numFmtId="0" fontId="0" fillId="2" borderId="21" xfId="0" applyFill="1" applyBorder="1"/>
    <xf numFmtId="169" fontId="0" fillId="24" borderId="9" xfId="0" applyNumberFormat="1" applyFill="1" applyBorder="1" applyAlignment="1">
      <alignment horizontal="center" vertical="center"/>
    </xf>
    <xf numFmtId="168" fontId="8" fillId="5" borderId="18" xfId="0" applyNumberFormat="1" applyFont="1" applyFill="1" applyBorder="1"/>
    <xf numFmtId="2" fontId="0" fillId="24" borderId="9" xfId="0" applyNumberFormat="1" applyFill="1" applyBorder="1" applyAlignment="1">
      <alignment horizontal="center"/>
    </xf>
    <xf numFmtId="2" fontId="0" fillId="24" borderId="9" xfId="0" applyNumberFormat="1" applyFill="1" applyBorder="1" applyAlignment="1">
      <alignment horizontal="center" vertical="center"/>
    </xf>
    <xf numFmtId="2" fontId="129" fillId="23" borderId="1" xfId="0" applyNumberFormat="1" applyFont="1" applyFill="1" applyBorder="1" applyAlignment="1">
      <alignment horizontal="center"/>
    </xf>
    <xf numFmtId="2" fontId="129" fillId="23" borderId="1" xfId="0" applyNumberFormat="1" applyFont="1" applyFill="1" applyBorder="1" applyAlignment="1">
      <alignment horizontal="center" vertical="center"/>
    </xf>
    <xf numFmtId="0" fontId="123" fillId="2" borderId="0" xfId="0" applyFont="1" applyFill="1"/>
    <xf numFmtId="15" fontId="0" fillId="0" borderId="9" xfId="0" applyNumberFormat="1" applyBorder="1" applyAlignment="1">
      <alignment horizontal="center" vertical="center"/>
    </xf>
    <xf numFmtId="0" fontId="2" fillId="2" borderId="0" xfId="0" quotePrefix="1" applyFont="1" applyFill="1"/>
    <xf numFmtId="0" fontId="98" fillId="13" borderId="58" xfId="0" applyFont="1" applyFill="1" applyBorder="1"/>
    <xf numFmtId="0" fontId="98" fillId="13" borderId="16" xfId="0" applyFont="1" applyFill="1" applyBorder="1"/>
    <xf numFmtId="0" fontId="98" fillId="13" borderId="24" xfId="0" applyFont="1" applyFill="1" applyBorder="1"/>
    <xf numFmtId="193" fontId="134" fillId="27" borderId="0" xfId="0" applyNumberFormat="1" applyFont="1" applyFill="1" applyAlignment="1">
      <alignment horizontal="center" vertical="center"/>
    </xf>
    <xf numFmtId="168" fontId="134" fillId="27" borderId="0" xfId="0" applyNumberFormat="1" applyFont="1" applyFill="1" applyAlignment="1">
      <alignment horizontal="center" vertical="center"/>
    </xf>
    <xf numFmtId="193" fontId="134" fillId="27" borderId="0" xfId="0" applyNumberFormat="1" applyFont="1" applyFill="1" applyAlignment="1">
      <alignment horizontal="center"/>
    </xf>
    <xf numFmtId="168" fontId="134" fillId="27" borderId="0" xfId="0" applyNumberFormat="1" applyFont="1" applyFill="1" applyAlignment="1">
      <alignment horizontal="center"/>
    </xf>
    <xf numFmtId="0" fontId="5" fillId="2" borderId="0" xfId="0" quotePrefix="1" applyFont="1" applyFill="1"/>
    <xf numFmtId="0" fontId="6" fillId="4" borderId="9" xfId="0" applyFont="1" applyFill="1" applyBorder="1" applyAlignment="1">
      <alignment horizontal="center"/>
    </xf>
    <xf numFmtId="0" fontId="5" fillId="23" borderId="9" xfId="0" applyFont="1" applyFill="1" applyBorder="1" applyAlignment="1">
      <alignment horizontal="center" vertical="center"/>
    </xf>
    <xf numFmtId="0" fontId="5" fillId="22" borderId="9" xfId="0" applyFont="1" applyFill="1" applyBorder="1" applyAlignment="1">
      <alignment horizontal="center" vertical="center"/>
    </xf>
    <xf numFmtId="0" fontId="5" fillId="6" borderId="18" xfId="0" applyFont="1" applyFill="1" applyBorder="1"/>
    <xf numFmtId="0" fontId="5" fillId="6" borderId="8" xfId="0" applyFont="1" applyFill="1" applyBorder="1"/>
    <xf numFmtId="0" fontId="5" fillId="23" borderId="9" xfId="0" applyFont="1" applyFill="1" applyBorder="1"/>
    <xf numFmtId="168" fontId="6" fillId="5" borderId="18" xfId="0" applyNumberFormat="1" applyFont="1" applyFill="1" applyBorder="1"/>
    <xf numFmtId="168" fontId="16" fillId="6" borderId="18" xfId="1" applyNumberFormat="1" applyFont="1" applyFill="1" applyBorder="1" applyAlignment="1">
      <alignment horizontal="center" vertical="center"/>
    </xf>
    <xf numFmtId="194" fontId="50" fillId="4" borderId="4" xfId="1" applyNumberFormat="1" applyFont="1" applyFill="1" applyBorder="1"/>
    <xf numFmtId="0" fontId="0" fillId="0" borderId="12" xfId="0" applyBorder="1" applyAlignment="1">
      <alignment horizontal="left" wrapText="1"/>
    </xf>
    <xf numFmtId="2" fontId="2" fillId="12" borderId="0" xfId="0" applyNumberFormat="1" applyFont="1" applyFill="1" applyAlignment="1">
      <alignment horizontal="center" vertical="center"/>
    </xf>
    <xf numFmtId="0" fontId="0" fillId="0" borderId="9" xfId="0" applyBorder="1" applyAlignment="1">
      <alignment horizontal="center" vertical="center"/>
    </xf>
    <xf numFmtId="0" fontId="5" fillId="22" borderId="12" xfId="0" applyFont="1" applyFill="1" applyBorder="1" applyAlignment="1">
      <alignment horizontal="center"/>
    </xf>
    <xf numFmtId="0" fontId="5" fillId="4" borderId="56" xfId="0" applyFont="1" applyFill="1" applyBorder="1"/>
    <xf numFmtId="0" fontId="5" fillId="4" borderId="59" xfId="0" applyFont="1" applyFill="1" applyBorder="1" applyAlignment="1">
      <alignment horizontal="center" vertical="center"/>
    </xf>
    <xf numFmtId="0" fontId="21" fillId="6" borderId="9" xfId="0" applyFont="1" applyFill="1" applyBorder="1" applyAlignment="1">
      <alignment horizontal="center" vertical="center"/>
    </xf>
    <xf numFmtId="195" fontId="6" fillId="14" borderId="8" xfId="0" applyNumberFormat="1" applyFont="1" applyFill="1" applyBorder="1" applyAlignment="1">
      <alignment horizontal="center"/>
    </xf>
    <xf numFmtId="169" fontId="12" fillId="31" borderId="9" xfId="0" applyNumberFormat="1" applyFont="1" applyFill="1" applyBorder="1"/>
    <xf numFmtId="195" fontId="10" fillId="31" borderId="9" xfId="0" applyNumberFormat="1" applyFont="1" applyFill="1" applyBorder="1" applyAlignment="1">
      <alignment horizontal="center" vertical="center"/>
    </xf>
    <xf numFmtId="0" fontId="135" fillId="26" borderId="1" xfId="0" applyFont="1" applyFill="1" applyBorder="1" applyAlignment="1">
      <alignment horizontal="center"/>
    </xf>
    <xf numFmtId="0" fontId="8" fillId="4" borderId="2" xfId="0" applyFont="1" applyFill="1" applyBorder="1" applyAlignment="1">
      <alignment horizontal="center" wrapText="1"/>
    </xf>
    <xf numFmtId="196" fontId="136" fillId="16" borderId="9" xfId="0" applyNumberFormat="1" applyFont="1" applyFill="1" applyBorder="1" applyAlignment="1">
      <alignment horizontal="center" vertical="center"/>
    </xf>
    <xf numFmtId="0" fontId="31" fillId="12" borderId="27" xfId="0" applyFont="1" applyFill="1" applyBorder="1" applyAlignment="1">
      <alignment horizontal="left" vertical="center"/>
    </xf>
    <xf numFmtId="0" fontId="31" fillId="12" borderId="28" xfId="0" applyFont="1" applyFill="1" applyBorder="1" applyAlignment="1">
      <alignment horizontal="left" vertical="center"/>
    </xf>
    <xf numFmtId="0" fontId="73" fillId="12" borderId="28" xfId="0" applyFont="1" applyFill="1" applyBorder="1" applyAlignment="1">
      <alignment horizontal="center" vertical="center"/>
    </xf>
    <xf numFmtId="0" fontId="0" fillId="12" borderId="30" xfId="0" applyFill="1" applyBorder="1" applyAlignment="1">
      <alignment horizontal="left" vertical="center"/>
    </xf>
    <xf numFmtId="0" fontId="0" fillId="12" borderId="16" xfId="0" applyFill="1" applyBorder="1" applyAlignment="1">
      <alignment horizontal="left" vertical="center"/>
    </xf>
    <xf numFmtId="0" fontId="0" fillId="12" borderId="16" xfId="0" applyFill="1" applyBorder="1" applyAlignment="1">
      <alignment horizontal="center" vertical="center"/>
    </xf>
    <xf numFmtId="0" fontId="0" fillId="12" borderId="17" xfId="0" applyFill="1" applyBorder="1" applyAlignment="1">
      <alignment horizontal="left" vertical="center"/>
    </xf>
    <xf numFmtId="0" fontId="5" fillId="12" borderId="0" xfId="0" applyFont="1" applyFill="1" applyAlignment="1">
      <alignment horizontal="right" vertical="center"/>
    </xf>
    <xf numFmtId="197" fontId="103" fillId="22" borderId="1" xfId="0" applyNumberFormat="1" applyFont="1" applyFill="1" applyBorder="1" applyAlignment="1">
      <alignment horizontal="center" vertical="center"/>
    </xf>
    <xf numFmtId="0" fontId="8" fillId="15" borderId="18" xfId="0" applyFont="1" applyFill="1" applyBorder="1" applyAlignment="1">
      <alignment horizontal="center"/>
    </xf>
    <xf numFmtId="0" fontId="8" fillId="15" borderId="7" xfId="0" applyFont="1" applyFill="1" applyBorder="1" applyAlignment="1">
      <alignment horizontal="center"/>
    </xf>
    <xf numFmtId="0" fontId="8" fillId="15" borderId="8" xfId="0" applyFont="1" applyFill="1" applyBorder="1" applyAlignment="1">
      <alignment horizontal="center"/>
    </xf>
    <xf numFmtId="0" fontId="60" fillId="7" borderId="20" xfId="0" applyFont="1" applyFill="1" applyBorder="1" applyAlignment="1">
      <alignment horizontal="center"/>
    </xf>
    <xf numFmtId="0" fontId="92" fillId="7" borderId="20" xfId="0" applyFont="1" applyFill="1" applyBorder="1" applyAlignment="1">
      <alignment horizontal="center"/>
    </xf>
    <xf numFmtId="2" fontId="5" fillId="12" borderId="29" xfId="0" applyNumberFormat="1" applyFont="1" applyFill="1" applyBorder="1" applyAlignment="1">
      <alignment horizontal="center" vertical="center"/>
    </xf>
    <xf numFmtId="2" fontId="89" fillId="12" borderId="0" xfId="0" applyNumberFormat="1" applyFont="1" applyFill="1" applyAlignment="1">
      <alignment horizontal="center" vertical="center"/>
    </xf>
    <xf numFmtId="2" fontId="89" fillId="12" borderId="23" xfId="0" applyNumberFormat="1" applyFont="1" applyFill="1" applyBorder="1" applyAlignment="1">
      <alignment horizontal="center" vertical="center"/>
    </xf>
    <xf numFmtId="0" fontId="73" fillId="12" borderId="5" xfId="0" applyFont="1" applyFill="1" applyBorder="1" applyAlignment="1">
      <alignment horizontal="center" vertical="center"/>
    </xf>
    <xf numFmtId="0" fontId="82" fillId="0" borderId="5" xfId="0" applyFont="1" applyBorder="1" applyAlignment="1">
      <alignment vertical="center"/>
    </xf>
    <xf numFmtId="0" fontId="31" fillId="31" borderId="4" xfId="0" applyFont="1" applyFill="1" applyBorder="1" applyAlignment="1">
      <alignment horizontal="center" vertical="center"/>
    </xf>
    <xf numFmtId="0" fontId="2" fillId="31" borderId="5" xfId="0" applyFont="1" applyFill="1" applyBorder="1" applyAlignment="1">
      <alignment horizontal="center" vertical="center"/>
    </xf>
    <xf numFmtId="0" fontId="2" fillId="31" borderId="6" xfId="0" applyFont="1" applyFill="1" applyBorder="1" applyAlignment="1">
      <alignment horizontal="center" vertical="center"/>
    </xf>
    <xf numFmtId="2" fontId="10" fillId="4" borderId="4" xfId="0" applyNumberFormat="1" applyFont="1" applyFill="1" applyBorder="1" applyAlignment="1">
      <alignment horizontal="center" vertical="center"/>
    </xf>
    <xf numFmtId="2" fontId="10" fillId="4" borderId="6" xfId="0" applyNumberFormat="1" applyFont="1" applyFill="1" applyBorder="1" applyAlignment="1">
      <alignment horizontal="center" vertical="center"/>
    </xf>
    <xf numFmtId="0" fontId="87" fillId="12" borderId="28" xfId="0" applyFont="1" applyFill="1" applyBorder="1" applyAlignment="1">
      <alignment horizontal="center" vertical="center"/>
    </xf>
    <xf numFmtId="0" fontId="22" fillId="5" borderId="26" xfId="0" applyFont="1" applyFill="1" applyBorder="1" applyAlignment="1">
      <alignment horizontal="left"/>
    </xf>
    <xf numFmtId="0" fontId="22" fillId="5" borderId="0" xfId="0" applyFont="1" applyFill="1" applyAlignment="1">
      <alignment horizontal="left"/>
    </xf>
    <xf numFmtId="0" fontId="41" fillId="3" borderId="5" xfId="0" applyFont="1" applyFill="1" applyBorder="1" applyAlignment="1">
      <alignment horizontal="center"/>
    </xf>
    <xf numFmtId="0" fontId="112" fillId="32" borderId="30" xfId="0" applyFont="1" applyFill="1" applyBorder="1" applyAlignment="1">
      <alignment horizontal="center" vertical="center"/>
    </xf>
    <xf numFmtId="0" fontId="112" fillId="32" borderId="16" xfId="0" applyFont="1" applyFill="1" applyBorder="1" applyAlignment="1">
      <alignment horizontal="center" vertical="center"/>
    </xf>
    <xf numFmtId="0" fontId="112" fillId="32" borderId="17" xfId="0" applyFont="1" applyFill="1" applyBorder="1" applyAlignment="1">
      <alignment horizontal="center" vertical="center"/>
    </xf>
    <xf numFmtId="0" fontId="112" fillId="32" borderId="53" xfId="0" applyFont="1" applyFill="1" applyBorder="1" applyAlignment="1">
      <alignment horizontal="center" vertical="center"/>
    </xf>
    <xf numFmtId="0" fontId="112" fillId="32" borderId="22" xfId="0" applyFont="1" applyFill="1" applyBorder="1" applyAlignment="1">
      <alignment horizontal="center" vertical="center"/>
    </xf>
    <xf numFmtId="0" fontId="112" fillId="32" borderId="54" xfId="0" applyFont="1" applyFill="1" applyBorder="1" applyAlignment="1">
      <alignment horizontal="center" vertical="center"/>
    </xf>
    <xf numFmtId="0" fontId="10" fillId="2" borderId="0" xfId="0" applyFont="1" applyFill="1" applyAlignment="1">
      <alignment horizontal="center"/>
    </xf>
    <xf numFmtId="0" fontId="106" fillId="2" borderId="0" xfId="0" applyFont="1" applyFill="1" applyAlignment="1">
      <alignment horizontal="center"/>
    </xf>
    <xf numFmtId="0" fontId="11" fillId="35" borderId="20" xfId="0" applyFont="1" applyFill="1" applyBorder="1" applyAlignment="1">
      <alignment horizontal="center"/>
    </xf>
    <xf numFmtId="0" fontId="11" fillId="35" borderId="51" xfId="0" applyFont="1" applyFill="1" applyBorder="1" applyAlignment="1">
      <alignment horizontal="center"/>
    </xf>
    <xf numFmtId="0" fontId="2" fillId="0" borderId="4" xfId="0" applyFont="1" applyBorder="1" applyAlignment="1">
      <alignment horizontal="center"/>
    </xf>
    <xf numFmtId="0" fontId="2" fillId="0" borderId="5" xfId="0" applyFont="1" applyBorder="1" applyAlignment="1">
      <alignment horizontal="center"/>
    </xf>
    <xf numFmtId="0" fontId="118" fillId="23" borderId="18" xfId="0" applyFont="1" applyFill="1" applyBorder="1" applyAlignment="1">
      <alignment horizontal="center"/>
    </xf>
    <xf numFmtId="0" fontId="118" fillId="23" borderId="7" xfId="0" applyFont="1" applyFill="1" applyBorder="1" applyAlignment="1">
      <alignment horizontal="center"/>
    </xf>
    <xf numFmtId="0" fontId="118" fillId="23" borderId="18" xfId="0" applyFont="1" applyFill="1" applyBorder="1" applyAlignment="1">
      <alignment horizontal="center" vertical="center"/>
    </xf>
    <xf numFmtId="0" fontId="118" fillId="23" borderId="7" xfId="0" applyFont="1" applyFill="1" applyBorder="1" applyAlignment="1">
      <alignment horizontal="center" vertical="center"/>
    </xf>
    <xf numFmtId="0" fontId="118" fillId="23" borderId="8" xfId="0" applyFont="1" applyFill="1" applyBorder="1" applyAlignment="1">
      <alignment horizontal="center" vertical="center"/>
    </xf>
    <xf numFmtId="184" fontId="8" fillId="5" borderId="4" xfId="3" applyNumberFormat="1" applyFont="1" applyFill="1" applyBorder="1" applyAlignment="1">
      <alignment horizontal="center"/>
    </xf>
    <xf numFmtId="184" fontId="8" fillId="5" borderId="6" xfId="3" applyNumberFormat="1" applyFont="1" applyFill="1" applyBorder="1" applyAlignment="1">
      <alignment horizontal="center"/>
    </xf>
    <xf numFmtId="0" fontId="8" fillId="5" borderId="4" xfId="0" applyFont="1" applyFill="1" applyBorder="1" applyAlignment="1">
      <alignment horizontal="center"/>
    </xf>
    <xf numFmtId="0" fontId="8" fillId="5" borderId="6" xfId="0" applyFont="1" applyFill="1" applyBorder="1" applyAlignment="1">
      <alignment horizontal="center"/>
    </xf>
    <xf numFmtId="187" fontId="8" fillId="5" borderId="4" xfId="3" applyNumberFormat="1" applyFont="1" applyFill="1" applyBorder="1" applyAlignment="1">
      <alignment horizontal="center"/>
    </xf>
    <xf numFmtId="187" fontId="0" fillId="5" borderId="6" xfId="0" applyNumberFormat="1" applyFill="1" applyBorder="1" applyAlignment="1">
      <alignment horizontal="center"/>
    </xf>
    <xf numFmtId="0" fontId="94" fillId="2" borderId="0" xfId="0" applyFont="1" applyFill="1" applyAlignment="1">
      <alignment horizontal="center"/>
    </xf>
    <xf numFmtId="0" fontId="122" fillId="22" borderId="18" xfId="0" applyFont="1" applyFill="1" applyBorder="1" applyAlignment="1">
      <alignment horizontal="center"/>
    </xf>
    <xf numFmtId="0" fontId="122" fillId="22" borderId="8" xfId="0" applyFont="1" applyFill="1" applyBorder="1" applyAlignment="1">
      <alignment horizontal="center"/>
    </xf>
    <xf numFmtId="0" fontId="122" fillId="22" borderId="7" xfId="0" applyFont="1" applyFill="1" applyBorder="1" applyAlignment="1">
      <alignment horizontal="center"/>
    </xf>
    <xf numFmtId="0" fontId="41" fillId="6" borderId="18" xfId="0" applyFont="1" applyFill="1" applyBorder="1" applyAlignment="1">
      <alignment horizontal="left"/>
    </xf>
    <xf numFmtId="0" fontId="41" fillId="6" borderId="7" xfId="0" applyFont="1" applyFill="1" applyBorder="1" applyAlignment="1">
      <alignment horizontal="left"/>
    </xf>
    <xf numFmtId="0" fontId="41" fillId="6" borderId="8" xfId="0" applyFont="1" applyFill="1" applyBorder="1" applyAlignment="1">
      <alignment horizontal="left"/>
    </xf>
    <xf numFmtId="0" fontId="6" fillId="6" borderId="18" xfId="0" applyFont="1" applyFill="1" applyBorder="1" applyAlignment="1">
      <alignment horizontal="center"/>
    </xf>
    <xf numFmtId="0" fontId="6" fillId="6" borderId="7" xfId="0" applyFont="1" applyFill="1" applyBorder="1" applyAlignment="1">
      <alignment horizontal="center"/>
    </xf>
    <xf numFmtId="0" fontId="6" fillId="6" borderId="8" xfId="0" applyFont="1" applyFill="1" applyBorder="1" applyAlignment="1">
      <alignment horizontal="center"/>
    </xf>
    <xf numFmtId="0" fontId="12" fillId="4" borderId="4" xfId="0" applyFont="1" applyFill="1" applyBorder="1" applyAlignment="1">
      <alignment horizontal="center"/>
    </xf>
    <xf numFmtId="0" fontId="12" fillId="4" borderId="6" xfId="0" applyFont="1" applyFill="1" applyBorder="1" applyAlignment="1">
      <alignment horizontal="center"/>
    </xf>
    <xf numFmtId="0" fontId="12" fillId="2" borderId="0" xfId="0" applyFont="1" applyFill="1" applyAlignment="1">
      <alignment horizontal="center"/>
    </xf>
    <xf numFmtId="0" fontId="0" fillId="4" borderId="4" xfId="0" applyFill="1" applyBorder="1" applyAlignment="1">
      <alignment horizontal="center"/>
    </xf>
    <xf numFmtId="0" fontId="0" fillId="4" borderId="5" xfId="0" applyFill="1" applyBorder="1" applyAlignment="1">
      <alignment horizontal="center"/>
    </xf>
    <xf numFmtId="0" fontId="0" fillId="4" borderId="6" xfId="0" applyFill="1" applyBorder="1" applyAlignment="1">
      <alignment horizontal="center"/>
    </xf>
    <xf numFmtId="0" fontId="40" fillId="4" borderId="4" xfId="0" applyFont="1" applyFill="1" applyBorder="1" applyAlignment="1">
      <alignment horizontal="center"/>
    </xf>
    <xf numFmtId="0" fontId="40" fillId="4" borderId="5" xfId="0" applyFont="1" applyFill="1" applyBorder="1" applyAlignment="1">
      <alignment horizontal="center"/>
    </xf>
    <xf numFmtId="0" fontId="40" fillId="4" borderId="6" xfId="0" applyFont="1" applyFill="1" applyBorder="1" applyAlignment="1">
      <alignment horizontal="center"/>
    </xf>
    <xf numFmtId="0" fontId="41" fillId="6" borderId="4" xfId="0" applyFont="1" applyFill="1" applyBorder="1" applyAlignment="1">
      <alignment horizontal="center"/>
    </xf>
    <xf numFmtId="0" fontId="41" fillId="6" borderId="5" xfId="0" applyFont="1" applyFill="1" applyBorder="1" applyAlignment="1">
      <alignment horizontal="center"/>
    </xf>
    <xf numFmtId="0" fontId="41" fillId="6" borderId="6" xfId="0" applyFont="1" applyFill="1" applyBorder="1" applyAlignment="1">
      <alignment horizontal="center"/>
    </xf>
    <xf numFmtId="0" fontId="6" fillId="6" borderId="4" xfId="0" applyFont="1" applyFill="1" applyBorder="1" applyAlignment="1">
      <alignment horizontal="left"/>
    </xf>
    <xf numFmtId="0" fontId="6" fillId="6" borderId="5" xfId="0" applyFont="1" applyFill="1" applyBorder="1" applyAlignment="1">
      <alignment horizontal="left"/>
    </xf>
    <xf numFmtId="0" fontId="6" fillId="6" borderId="6" xfId="0" applyFont="1" applyFill="1" applyBorder="1" applyAlignment="1">
      <alignment horizontal="left"/>
    </xf>
    <xf numFmtId="0" fontId="5" fillId="2" borderId="0" xfId="0" applyFont="1" applyFill="1" applyAlignment="1">
      <alignment horizontal="center"/>
    </xf>
    <xf numFmtId="0" fontId="5" fillId="6" borderId="18" xfId="0" applyFont="1" applyFill="1" applyBorder="1" applyAlignment="1">
      <alignment horizontal="center"/>
    </xf>
    <xf numFmtId="0" fontId="5" fillId="6" borderId="7" xfId="0" applyFont="1" applyFill="1" applyBorder="1" applyAlignment="1">
      <alignment horizontal="center"/>
    </xf>
    <xf numFmtId="0" fontId="5" fillId="6" borderId="8" xfId="0" applyFont="1" applyFill="1" applyBorder="1" applyAlignment="1">
      <alignment horizontal="center"/>
    </xf>
    <xf numFmtId="0" fontId="12" fillId="4" borderId="5" xfId="0" applyFont="1" applyFill="1" applyBorder="1" applyAlignment="1">
      <alignment horizontal="center"/>
    </xf>
    <xf numFmtId="0" fontId="12" fillId="19" borderId="16" xfId="2" applyFill="1" applyBorder="1" applyAlignment="1">
      <alignment horizontal="center" vertical="center" wrapText="1"/>
    </xf>
    <xf numFmtId="0" fontId="12" fillId="19" borderId="52" xfId="2" applyFill="1" applyBorder="1" applyAlignment="1">
      <alignment horizontal="center" vertical="center" wrapText="1"/>
    </xf>
    <xf numFmtId="0" fontId="12" fillId="18" borderId="16" xfId="2" applyFill="1" applyBorder="1" applyAlignment="1">
      <alignment horizontal="center" vertical="center"/>
    </xf>
    <xf numFmtId="2" fontId="29" fillId="0" borderId="5" xfId="2" applyNumberFormat="1" applyFont="1" applyBorder="1" applyAlignment="1">
      <alignment horizontal="center" vertical="center"/>
    </xf>
    <xf numFmtId="2" fontId="29" fillId="0" borderId="16" xfId="2" applyNumberFormat="1" applyFont="1" applyBorder="1" applyAlignment="1">
      <alignment horizontal="center" vertical="center"/>
    </xf>
    <xf numFmtId="2" fontId="29" fillId="0" borderId="6" xfId="2" applyNumberFormat="1" applyFont="1" applyBorder="1" applyAlignment="1">
      <alignment horizontal="center" vertical="center"/>
    </xf>
    <xf numFmtId="0" fontId="12" fillId="19" borderId="30" xfId="2" applyFill="1" applyBorder="1" applyAlignment="1">
      <alignment horizontal="center" vertical="center" wrapText="1"/>
    </xf>
    <xf numFmtId="2" fontId="29" fillId="20" borderId="5" xfId="2" applyNumberFormat="1" applyFont="1" applyFill="1" applyBorder="1" applyAlignment="1">
      <alignment horizontal="center" vertical="center"/>
    </xf>
    <xf numFmtId="2" fontId="29" fillId="20" borderId="16" xfId="2" applyNumberFormat="1" applyFont="1" applyFill="1" applyBorder="1" applyAlignment="1">
      <alignment horizontal="center" vertical="center"/>
    </xf>
    <xf numFmtId="2" fontId="29" fillId="20" borderId="6" xfId="2" applyNumberFormat="1" applyFont="1" applyFill="1" applyBorder="1" applyAlignment="1">
      <alignment horizontal="center" vertical="center"/>
    </xf>
    <xf numFmtId="0" fontId="5" fillId="4" borderId="46" xfId="0" applyFont="1" applyFill="1" applyBorder="1" applyAlignment="1">
      <alignment horizontal="left" vertical="center"/>
    </xf>
    <xf numFmtId="0" fontId="5" fillId="4" borderId="47" xfId="0" applyFont="1" applyFill="1" applyBorder="1" applyAlignment="1">
      <alignment horizontal="left" vertical="center"/>
    </xf>
    <xf numFmtId="0" fontId="5" fillId="4" borderId="48" xfId="0" applyFont="1" applyFill="1" applyBorder="1" applyAlignment="1">
      <alignment horizontal="left" vertical="center"/>
    </xf>
    <xf numFmtId="0" fontId="5" fillId="4" borderId="49" xfId="0" applyFont="1" applyFill="1" applyBorder="1" applyAlignment="1">
      <alignment horizontal="left" vertical="center"/>
    </xf>
    <xf numFmtId="0" fontId="5" fillId="4" borderId="34" xfId="0" applyFont="1" applyFill="1" applyBorder="1" applyAlignment="1">
      <alignment horizontal="left" vertical="center"/>
    </xf>
    <xf numFmtId="0" fontId="5" fillId="4" borderId="50" xfId="0" applyFont="1" applyFill="1" applyBorder="1" applyAlignment="1">
      <alignment horizontal="left" vertical="center"/>
    </xf>
    <xf numFmtId="0" fontId="10" fillId="3" borderId="38" xfId="0" applyFont="1" applyFill="1" applyBorder="1" applyAlignment="1">
      <alignment horizontal="left" vertical="center"/>
    </xf>
    <xf numFmtId="0" fontId="10" fillId="3" borderId="40" xfId="0" applyFont="1" applyFill="1" applyBorder="1" applyAlignment="1">
      <alignment horizontal="left" vertical="center"/>
    </xf>
    <xf numFmtId="0" fontId="10" fillId="4" borderId="46" xfId="0" applyFont="1" applyFill="1" applyBorder="1" applyAlignment="1">
      <alignment horizontal="left" vertical="center"/>
    </xf>
    <xf numFmtId="0" fontId="10" fillId="4" borderId="47" xfId="0" applyFont="1" applyFill="1" applyBorder="1" applyAlignment="1">
      <alignment horizontal="left" vertical="center"/>
    </xf>
    <xf numFmtId="0" fontId="10" fillId="4" borderId="37" xfId="0" applyFont="1" applyFill="1" applyBorder="1" applyAlignment="1">
      <alignment horizontal="left" vertical="center"/>
    </xf>
    <xf numFmtId="0" fontId="65" fillId="2" borderId="20" xfId="0" applyFont="1" applyFill="1" applyBorder="1" applyAlignment="1">
      <alignment horizontal="center"/>
    </xf>
    <xf numFmtId="0" fontId="9" fillId="2" borderId="20" xfId="0" applyFont="1" applyFill="1" applyBorder="1" applyAlignment="1">
      <alignment horizontal="center"/>
    </xf>
    <xf numFmtId="0" fontId="65" fillId="2" borderId="0" xfId="0" applyFont="1" applyFill="1" applyAlignment="1">
      <alignment horizontal="center"/>
    </xf>
    <xf numFmtId="0" fontId="63" fillId="2" borderId="16" xfId="0" applyFont="1" applyFill="1" applyBorder="1" applyAlignment="1">
      <alignment horizontal="center"/>
    </xf>
    <xf numFmtId="0" fontId="6" fillId="2" borderId="28" xfId="0" applyFont="1" applyFill="1" applyBorder="1" applyAlignment="1">
      <alignment horizontal="center"/>
    </xf>
    <xf numFmtId="0" fontId="6" fillId="2" borderId="16" xfId="0" applyFont="1" applyFill="1" applyBorder="1" applyAlignment="1">
      <alignment horizontal="center"/>
    </xf>
    <xf numFmtId="0" fontId="93" fillId="6" borderId="4" xfId="0" applyFont="1" applyFill="1" applyBorder="1" applyAlignment="1">
      <alignment horizontal="center"/>
    </xf>
    <xf numFmtId="0" fontId="93" fillId="6" borderId="5" xfId="0" applyFont="1" applyFill="1" applyBorder="1" applyAlignment="1">
      <alignment horizontal="center"/>
    </xf>
    <xf numFmtId="0" fontId="93" fillId="6" borderId="6" xfId="0" applyFont="1" applyFill="1" applyBorder="1" applyAlignment="1">
      <alignment horizontal="center"/>
    </xf>
    <xf numFmtId="0" fontId="6" fillId="2" borderId="20" xfId="0" applyFont="1" applyFill="1" applyBorder="1" applyAlignment="1">
      <alignment horizontal="center"/>
    </xf>
    <xf numFmtId="0" fontId="62" fillId="2" borderId="0" xfId="0" applyFont="1" applyFill="1" applyAlignment="1">
      <alignment horizontal="center"/>
    </xf>
    <xf numFmtId="0" fontId="2" fillId="2" borderId="16" xfId="0" applyFont="1" applyFill="1" applyBorder="1" applyAlignment="1">
      <alignment horizontal="center"/>
    </xf>
    <xf numFmtId="0" fontId="0" fillId="2" borderId="16" xfId="0" applyFill="1" applyBorder="1" applyAlignment="1">
      <alignment horizontal="center"/>
    </xf>
    <xf numFmtId="0" fontId="12" fillId="2" borderId="16" xfId="0" applyFont="1" applyFill="1" applyBorder="1" applyAlignment="1">
      <alignment horizontal="center"/>
    </xf>
    <xf numFmtId="0" fontId="6" fillId="0" borderId="0" xfId="0" applyFont="1" applyAlignment="1">
      <alignment horizontal="center"/>
    </xf>
    <xf numFmtId="0" fontId="6" fillId="4" borderId="18" xfId="0" applyFont="1"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6" fillId="5" borderId="13" xfId="0" applyFont="1" applyFill="1" applyBorder="1"/>
    <xf numFmtId="0" fontId="6" fillId="5" borderId="21" xfId="0" applyFont="1" applyFill="1" applyBorder="1"/>
    <xf numFmtId="0" fontId="60" fillId="3" borderId="19" xfId="0" applyFont="1" applyFill="1" applyBorder="1" applyAlignment="1">
      <alignment horizontal="center"/>
    </xf>
    <xf numFmtId="0" fontId="60" fillId="3" borderId="20" xfId="0" applyFont="1" applyFill="1" applyBorder="1" applyAlignment="1">
      <alignment horizontal="center"/>
    </xf>
    <xf numFmtId="0" fontId="60" fillId="3" borderId="51" xfId="0" applyFont="1" applyFill="1" applyBorder="1" applyAlignment="1">
      <alignment horizontal="center"/>
    </xf>
    <xf numFmtId="0" fontId="17" fillId="3" borderId="26" xfId="0" applyFont="1" applyFill="1" applyBorder="1" applyAlignment="1">
      <alignment horizontal="center"/>
    </xf>
    <xf numFmtId="0" fontId="17" fillId="3" borderId="0" xfId="0" applyFont="1" applyFill="1" applyAlignment="1">
      <alignment horizontal="center"/>
    </xf>
    <xf numFmtId="0" fontId="17" fillId="3" borderId="23" xfId="0" applyFont="1" applyFill="1" applyBorder="1" applyAlignment="1">
      <alignment horizontal="center"/>
    </xf>
    <xf numFmtId="0" fontId="6" fillId="5" borderId="18" xfId="0" applyFont="1" applyFill="1" applyBorder="1" applyAlignment="1">
      <alignment horizontal="center"/>
    </xf>
    <xf numFmtId="0" fontId="6" fillId="5" borderId="8" xfId="0" applyFont="1" applyFill="1" applyBorder="1" applyAlignment="1">
      <alignment horizontal="center"/>
    </xf>
    <xf numFmtId="0" fontId="16" fillId="4" borderId="18" xfId="0" quotePrefix="1" applyFont="1" applyFill="1" applyBorder="1" applyAlignment="1">
      <alignment horizontal="left"/>
    </xf>
    <xf numFmtId="0" fontId="16" fillId="4" borderId="7" xfId="0" quotePrefix="1" applyFont="1" applyFill="1" applyBorder="1" applyAlignment="1">
      <alignment horizontal="left"/>
    </xf>
    <xf numFmtId="0" fontId="16" fillId="4" borderId="8" xfId="0" quotePrefix="1" applyFont="1" applyFill="1" applyBorder="1" applyAlignment="1">
      <alignment horizontal="left"/>
    </xf>
    <xf numFmtId="0" fontId="64" fillId="3" borderId="26" xfId="0" applyFont="1" applyFill="1" applyBorder="1" applyAlignment="1">
      <alignment horizontal="center"/>
    </xf>
    <xf numFmtId="0" fontId="64" fillId="3" borderId="0" xfId="0" applyFont="1" applyFill="1" applyAlignment="1">
      <alignment horizontal="center"/>
    </xf>
    <xf numFmtId="0" fontId="64" fillId="3" borderId="23" xfId="0" applyFont="1" applyFill="1" applyBorder="1" applyAlignment="1">
      <alignment horizontal="center"/>
    </xf>
    <xf numFmtId="0" fontId="141" fillId="37" borderId="10" xfId="4" applyFont="1" applyBorder="1" applyAlignment="1">
      <alignment horizontal="center"/>
    </xf>
    <xf numFmtId="0" fontId="141" fillId="37" borderId="4" xfId="4" applyFont="1" applyBorder="1"/>
    <xf numFmtId="0" fontId="141" fillId="37" borderId="9" xfId="4" applyFont="1" applyBorder="1" applyAlignment="1">
      <alignment horizontal="center"/>
    </xf>
    <xf numFmtId="0" fontId="141" fillId="37" borderId="9" xfId="4" applyFont="1" applyBorder="1"/>
  </cellXfs>
  <cellStyles count="5">
    <cellStyle name="40% - Accent5" xfId="4" builtinId="47"/>
    <cellStyle name="Comma" xfId="1" builtinId="3"/>
    <cellStyle name="Normal" xfId="0" builtinId="0"/>
    <cellStyle name="Normal 2" xfId="2" xr:uid="{00000000-0005-0000-0000-000002000000}"/>
    <cellStyle name="Percent" xfId="3" builtinId="5"/>
  </cellStyles>
  <dxfs count="11">
    <dxf>
      <fill>
        <patternFill>
          <bgColor rgb="FFFFFF00"/>
        </patternFill>
      </fill>
    </dxf>
    <dxf>
      <fill>
        <patternFill>
          <bgColor rgb="FFFFFF00"/>
        </patternFill>
      </fill>
    </dxf>
    <dxf>
      <fill>
        <patternFill>
          <bgColor rgb="FFFFFF00"/>
        </patternFill>
      </fill>
    </dxf>
    <dxf>
      <fill>
        <patternFill>
          <bgColor rgb="FFFFFF00"/>
        </patternFill>
      </fill>
    </dxf>
    <dxf>
      <font>
        <color theme="1"/>
      </font>
    </dxf>
    <dxf>
      <font>
        <condense val="0"/>
        <extend val="0"/>
        <color indexed="10"/>
      </font>
      <fill>
        <patternFill>
          <bgColor indexed="10"/>
        </patternFill>
      </fill>
    </dxf>
    <dxf>
      <font>
        <condense val="0"/>
        <extend val="0"/>
        <color indexed="11"/>
      </font>
      <fill>
        <patternFill>
          <bgColor indexed="11"/>
        </patternFill>
      </fill>
    </dxf>
    <dxf>
      <fill>
        <patternFill>
          <bgColor indexed="10"/>
        </patternFill>
      </fill>
    </dxf>
    <dxf>
      <fill>
        <patternFill>
          <bgColor indexed="11"/>
        </patternFill>
      </fill>
    </dxf>
    <dxf>
      <fill>
        <patternFill>
          <bgColor indexed="10"/>
        </patternFill>
      </fill>
    </dxf>
    <dxf>
      <font>
        <condense val="0"/>
        <extend val="0"/>
        <color auto="1"/>
      </font>
      <fill>
        <patternFill>
          <bgColor indexed="11"/>
        </patternFill>
      </fill>
    </dxf>
  </dxfs>
  <tableStyles count="0" defaultTableStyle="TableStyleMedium9" defaultPivotStyle="PivotStyleLight16"/>
  <colors>
    <mruColors>
      <color rgb="FF1C07B9"/>
      <color rgb="FF32EAD4"/>
      <color rgb="FF46D6C5"/>
      <color rgb="FF62DCCD"/>
      <color rgb="FF27AF9F"/>
      <color rgb="FFB2EEE7"/>
      <color rgb="FFA5C6FB"/>
      <color rgb="FFA6FAC0"/>
      <color rgb="FFA7F9F1"/>
      <color rgb="FF3791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400050</xdr:colOff>
      <xdr:row>4</xdr:row>
      <xdr:rowOff>95250</xdr:rowOff>
    </xdr:from>
    <xdr:to>
      <xdr:col>8</xdr:col>
      <xdr:colOff>95250</xdr:colOff>
      <xdr:row>4</xdr:row>
      <xdr:rowOff>95250</xdr:rowOff>
    </xdr:to>
    <xdr:sp macro="" textlink="">
      <xdr:nvSpPr>
        <xdr:cNvPr id="534697" name="Line 3">
          <a:extLst>
            <a:ext uri="{FF2B5EF4-FFF2-40B4-BE49-F238E27FC236}">
              <a16:creationId xmlns:a16="http://schemas.microsoft.com/office/drawing/2014/main" id="{15622FC7-4346-4E45-9262-AF2F77F7055E}"/>
            </a:ext>
          </a:extLst>
        </xdr:cNvPr>
        <xdr:cNvSpPr>
          <a:spLocks noChangeShapeType="1"/>
        </xdr:cNvSpPr>
      </xdr:nvSpPr>
      <xdr:spPr bwMode="auto">
        <a:xfrm flipV="1">
          <a:off x="8858250" y="1266825"/>
          <a:ext cx="3048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95250</xdr:colOff>
      <xdr:row>4</xdr:row>
      <xdr:rowOff>104775</xdr:rowOff>
    </xdr:from>
    <xdr:to>
      <xdr:col>8</xdr:col>
      <xdr:colOff>95250</xdr:colOff>
      <xdr:row>5</xdr:row>
      <xdr:rowOff>104775</xdr:rowOff>
    </xdr:to>
    <xdr:sp macro="" textlink="">
      <xdr:nvSpPr>
        <xdr:cNvPr id="534698" name="Line 4">
          <a:extLst>
            <a:ext uri="{FF2B5EF4-FFF2-40B4-BE49-F238E27FC236}">
              <a16:creationId xmlns:a16="http://schemas.microsoft.com/office/drawing/2014/main" id="{4CBE2E4C-D855-409D-A0A8-8C358F8A8DD8}"/>
            </a:ext>
          </a:extLst>
        </xdr:cNvPr>
        <xdr:cNvSpPr>
          <a:spLocks noChangeShapeType="1"/>
        </xdr:cNvSpPr>
      </xdr:nvSpPr>
      <xdr:spPr bwMode="auto">
        <a:xfrm>
          <a:off x="9163050" y="1276350"/>
          <a:ext cx="0" cy="1619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123825</xdr:colOff>
      <xdr:row>7</xdr:row>
      <xdr:rowOff>66675</xdr:rowOff>
    </xdr:from>
    <xdr:to>
      <xdr:col>8</xdr:col>
      <xdr:colOff>123825</xdr:colOff>
      <xdr:row>8</xdr:row>
      <xdr:rowOff>142875</xdr:rowOff>
    </xdr:to>
    <xdr:sp macro="" textlink="">
      <xdr:nvSpPr>
        <xdr:cNvPr id="534699" name="Line 5">
          <a:extLst>
            <a:ext uri="{FF2B5EF4-FFF2-40B4-BE49-F238E27FC236}">
              <a16:creationId xmlns:a16="http://schemas.microsoft.com/office/drawing/2014/main" id="{DBB9B1C6-51DB-4973-BA5F-9C5CCE667972}"/>
            </a:ext>
          </a:extLst>
        </xdr:cNvPr>
        <xdr:cNvSpPr>
          <a:spLocks noChangeShapeType="1"/>
        </xdr:cNvSpPr>
      </xdr:nvSpPr>
      <xdr:spPr bwMode="auto">
        <a:xfrm>
          <a:off x="9191625" y="1781175"/>
          <a:ext cx="0" cy="2762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123825</xdr:colOff>
      <xdr:row>10</xdr:row>
      <xdr:rowOff>66675</xdr:rowOff>
    </xdr:from>
    <xdr:to>
      <xdr:col>8</xdr:col>
      <xdr:colOff>123825</xdr:colOff>
      <xdr:row>18</xdr:row>
      <xdr:rowOff>76200</xdr:rowOff>
    </xdr:to>
    <xdr:sp macro="" textlink="">
      <xdr:nvSpPr>
        <xdr:cNvPr id="534700" name="Line 6">
          <a:extLst>
            <a:ext uri="{FF2B5EF4-FFF2-40B4-BE49-F238E27FC236}">
              <a16:creationId xmlns:a16="http://schemas.microsoft.com/office/drawing/2014/main" id="{6B37DE77-4709-4B18-AEB5-8A869B940E07}"/>
            </a:ext>
          </a:extLst>
        </xdr:cNvPr>
        <xdr:cNvSpPr>
          <a:spLocks noChangeShapeType="1"/>
        </xdr:cNvSpPr>
      </xdr:nvSpPr>
      <xdr:spPr bwMode="auto">
        <a:xfrm flipH="1">
          <a:off x="9191625" y="2362200"/>
          <a:ext cx="0" cy="16097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133350</xdr:colOff>
      <xdr:row>20</xdr:row>
      <xdr:rowOff>57150</xdr:rowOff>
    </xdr:from>
    <xdr:to>
      <xdr:col>8</xdr:col>
      <xdr:colOff>133350</xdr:colOff>
      <xdr:row>21</xdr:row>
      <xdr:rowOff>171450</xdr:rowOff>
    </xdr:to>
    <xdr:sp macro="" textlink="">
      <xdr:nvSpPr>
        <xdr:cNvPr id="534701" name="Line 18">
          <a:extLst>
            <a:ext uri="{FF2B5EF4-FFF2-40B4-BE49-F238E27FC236}">
              <a16:creationId xmlns:a16="http://schemas.microsoft.com/office/drawing/2014/main" id="{8B4ACEF3-B4D1-4968-B282-20CF9F423917}"/>
            </a:ext>
          </a:extLst>
        </xdr:cNvPr>
        <xdr:cNvSpPr>
          <a:spLocks noChangeShapeType="1"/>
        </xdr:cNvSpPr>
      </xdr:nvSpPr>
      <xdr:spPr bwMode="auto">
        <a:xfrm>
          <a:off x="9201150" y="4362450"/>
          <a:ext cx="0" cy="323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85725</xdr:colOff>
      <xdr:row>19</xdr:row>
      <xdr:rowOff>114300</xdr:rowOff>
    </xdr:from>
    <xdr:to>
      <xdr:col>7</xdr:col>
      <xdr:colOff>466725</xdr:colOff>
      <xdr:row>19</xdr:row>
      <xdr:rowOff>114300</xdr:rowOff>
    </xdr:to>
    <xdr:sp macro="" textlink="">
      <xdr:nvSpPr>
        <xdr:cNvPr id="534702" name="Line 19">
          <a:extLst>
            <a:ext uri="{FF2B5EF4-FFF2-40B4-BE49-F238E27FC236}">
              <a16:creationId xmlns:a16="http://schemas.microsoft.com/office/drawing/2014/main" id="{988C8E32-B412-44BD-B742-D417578F9852}"/>
            </a:ext>
          </a:extLst>
        </xdr:cNvPr>
        <xdr:cNvSpPr>
          <a:spLocks noChangeShapeType="1"/>
        </xdr:cNvSpPr>
      </xdr:nvSpPr>
      <xdr:spPr bwMode="auto">
        <a:xfrm>
          <a:off x="7934325" y="4219575"/>
          <a:ext cx="9906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304800</xdr:colOff>
      <xdr:row>21</xdr:row>
      <xdr:rowOff>66675</xdr:rowOff>
    </xdr:from>
    <xdr:to>
      <xdr:col>12</xdr:col>
      <xdr:colOff>180975</xdr:colOff>
      <xdr:row>24</xdr:row>
      <xdr:rowOff>152400</xdr:rowOff>
    </xdr:to>
    <xdr:sp macro="" textlink="">
      <xdr:nvSpPr>
        <xdr:cNvPr id="534703" name="Rectangle 22">
          <a:extLst>
            <a:ext uri="{FF2B5EF4-FFF2-40B4-BE49-F238E27FC236}">
              <a16:creationId xmlns:a16="http://schemas.microsoft.com/office/drawing/2014/main" id="{033F7645-6FD4-45D5-B999-D7A29DA26615}"/>
            </a:ext>
          </a:extLst>
        </xdr:cNvPr>
        <xdr:cNvSpPr>
          <a:spLocks noChangeArrowheads="1"/>
        </xdr:cNvSpPr>
      </xdr:nvSpPr>
      <xdr:spPr bwMode="auto">
        <a:xfrm>
          <a:off x="8763000" y="4581525"/>
          <a:ext cx="2009775" cy="666750"/>
        </a:xfrm>
        <a:prstGeom prst="rect">
          <a:avLst/>
        </a:prstGeom>
        <a:noFill/>
        <a:ln w="19050">
          <a:solidFill>
            <a:srgbClr val="339966"/>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581025</xdr:colOff>
      <xdr:row>49</xdr:row>
      <xdr:rowOff>209550</xdr:rowOff>
    </xdr:from>
    <xdr:to>
      <xdr:col>9</xdr:col>
      <xdr:colOff>152400</xdr:colOff>
      <xdr:row>58</xdr:row>
      <xdr:rowOff>0</xdr:rowOff>
    </xdr:to>
    <xdr:sp macro="" textlink="">
      <xdr:nvSpPr>
        <xdr:cNvPr id="566296" name="AutoShape 19">
          <a:extLst>
            <a:ext uri="{FF2B5EF4-FFF2-40B4-BE49-F238E27FC236}">
              <a16:creationId xmlns:a16="http://schemas.microsoft.com/office/drawing/2014/main" id="{0910023C-DC72-4FB1-9051-8E85A5D22BAB}"/>
            </a:ext>
          </a:extLst>
        </xdr:cNvPr>
        <xdr:cNvSpPr>
          <a:spLocks/>
        </xdr:cNvSpPr>
      </xdr:nvSpPr>
      <xdr:spPr bwMode="auto">
        <a:xfrm>
          <a:off x="8801100" y="9715500"/>
          <a:ext cx="295275" cy="2019300"/>
        </a:xfrm>
        <a:prstGeom prst="rightBrace">
          <a:avLst>
            <a:gd name="adj1" fmla="val 56989"/>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123825</xdr:colOff>
      <xdr:row>64</xdr:row>
      <xdr:rowOff>133350</xdr:rowOff>
    </xdr:from>
    <xdr:to>
      <xdr:col>7</xdr:col>
      <xdr:colOff>352425</xdr:colOff>
      <xdr:row>64</xdr:row>
      <xdr:rowOff>133350</xdr:rowOff>
    </xdr:to>
    <xdr:sp macro="" textlink="">
      <xdr:nvSpPr>
        <xdr:cNvPr id="566297" name="Line 21">
          <a:extLst>
            <a:ext uri="{FF2B5EF4-FFF2-40B4-BE49-F238E27FC236}">
              <a16:creationId xmlns:a16="http://schemas.microsoft.com/office/drawing/2014/main" id="{D745C577-1170-4B58-A8DF-F8CBFDF9EB66}"/>
            </a:ext>
          </a:extLst>
        </xdr:cNvPr>
        <xdr:cNvSpPr>
          <a:spLocks noChangeShapeType="1"/>
        </xdr:cNvSpPr>
      </xdr:nvSpPr>
      <xdr:spPr bwMode="auto">
        <a:xfrm>
          <a:off x="7181850" y="13354050"/>
          <a:ext cx="5334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133350</xdr:colOff>
      <xdr:row>58</xdr:row>
      <xdr:rowOff>0</xdr:rowOff>
    </xdr:from>
    <xdr:to>
      <xdr:col>6</xdr:col>
      <xdr:colOff>361950</xdr:colOff>
      <xdr:row>61</xdr:row>
      <xdr:rowOff>0</xdr:rowOff>
    </xdr:to>
    <xdr:sp macro="" textlink="">
      <xdr:nvSpPr>
        <xdr:cNvPr id="566298" name="AutoShape 22">
          <a:extLst>
            <a:ext uri="{FF2B5EF4-FFF2-40B4-BE49-F238E27FC236}">
              <a16:creationId xmlns:a16="http://schemas.microsoft.com/office/drawing/2014/main" id="{909B1E51-6498-47F8-9DED-E25F574AC1C2}"/>
            </a:ext>
          </a:extLst>
        </xdr:cNvPr>
        <xdr:cNvSpPr>
          <a:spLocks/>
        </xdr:cNvSpPr>
      </xdr:nvSpPr>
      <xdr:spPr bwMode="auto">
        <a:xfrm>
          <a:off x="7191375" y="11734800"/>
          <a:ext cx="171450" cy="742950"/>
        </a:xfrm>
        <a:prstGeom prst="rightBrace">
          <a:avLst>
            <a:gd name="adj1" fmla="val 36111"/>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28575</xdr:colOff>
      <xdr:row>14</xdr:row>
      <xdr:rowOff>133350</xdr:rowOff>
    </xdr:from>
    <xdr:to>
      <xdr:col>8</xdr:col>
      <xdr:colOff>133350</xdr:colOff>
      <xdr:row>14</xdr:row>
      <xdr:rowOff>133350</xdr:rowOff>
    </xdr:to>
    <xdr:sp macro="" textlink="">
      <xdr:nvSpPr>
        <xdr:cNvPr id="566299" name="Line 54">
          <a:extLst>
            <a:ext uri="{FF2B5EF4-FFF2-40B4-BE49-F238E27FC236}">
              <a16:creationId xmlns:a16="http://schemas.microsoft.com/office/drawing/2014/main" id="{08783AD5-E21D-4B22-85E2-4AD8EE74FA5E}"/>
            </a:ext>
          </a:extLst>
        </xdr:cNvPr>
        <xdr:cNvSpPr>
          <a:spLocks noChangeShapeType="1"/>
        </xdr:cNvSpPr>
      </xdr:nvSpPr>
      <xdr:spPr bwMode="auto">
        <a:xfrm flipH="1">
          <a:off x="8248650" y="3848100"/>
          <a:ext cx="1047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419100</xdr:colOff>
      <xdr:row>5</xdr:row>
      <xdr:rowOff>28575</xdr:rowOff>
    </xdr:from>
    <xdr:to>
      <xdr:col>3</xdr:col>
      <xdr:colOff>47625</xdr:colOff>
      <xdr:row>12</xdr:row>
      <xdr:rowOff>219075</xdr:rowOff>
    </xdr:to>
    <xdr:sp macro="" textlink="">
      <xdr:nvSpPr>
        <xdr:cNvPr id="566300" name="AutoShape 56">
          <a:extLst>
            <a:ext uri="{FF2B5EF4-FFF2-40B4-BE49-F238E27FC236}">
              <a16:creationId xmlns:a16="http://schemas.microsoft.com/office/drawing/2014/main" id="{C6FD14E5-2874-4867-B479-0006C4EB54F8}"/>
            </a:ext>
          </a:extLst>
        </xdr:cNvPr>
        <xdr:cNvSpPr>
          <a:spLocks/>
        </xdr:cNvSpPr>
      </xdr:nvSpPr>
      <xdr:spPr bwMode="auto">
        <a:xfrm>
          <a:off x="1028700" y="1019175"/>
          <a:ext cx="180975" cy="2419350"/>
        </a:xfrm>
        <a:prstGeom prst="leftBrace">
          <a:avLst>
            <a:gd name="adj1" fmla="val 111404"/>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xdr:col>
      <xdr:colOff>29078</xdr:colOff>
      <xdr:row>9</xdr:row>
      <xdr:rowOff>95250</xdr:rowOff>
    </xdr:from>
    <xdr:ext cx="999121" cy="292388"/>
    <xdr:sp macro="" textlink="">
      <xdr:nvSpPr>
        <xdr:cNvPr id="369721" name="Text Box 57">
          <a:extLst>
            <a:ext uri="{FF2B5EF4-FFF2-40B4-BE49-F238E27FC236}">
              <a16:creationId xmlns:a16="http://schemas.microsoft.com/office/drawing/2014/main" id="{1A856374-B050-47EC-8611-517C194DA7D7}"/>
            </a:ext>
          </a:extLst>
        </xdr:cNvPr>
        <xdr:cNvSpPr txBox="1">
          <a:spLocks noChangeArrowheads="1"/>
        </xdr:cNvSpPr>
      </xdr:nvSpPr>
      <xdr:spPr bwMode="auto">
        <a:xfrm>
          <a:off x="29078" y="2076450"/>
          <a:ext cx="999121" cy="292388"/>
        </a:xfrm>
        <a:prstGeom prst="rect">
          <a:avLst/>
        </a:prstGeom>
        <a:noFill/>
        <a:ln>
          <a:noFill/>
        </a:ln>
      </xdr:spPr>
      <xdr:txBody>
        <a:bodyPr wrap="none" lIns="18288" tIns="22860" rIns="18288" bIns="0" anchor="t" upright="1">
          <a:spAutoFit/>
        </a:bodyPr>
        <a:lstStyle/>
        <a:p>
          <a:pPr algn="ctr" rtl="0">
            <a:lnSpc>
              <a:spcPts val="1000"/>
            </a:lnSpc>
            <a:defRPr sz="1000"/>
          </a:pPr>
          <a:r>
            <a:rPr lang="en-AU" sz="1000" b="1" i="0" u="none" strike="noStrike" baseline="0">
              <a:solidFill>
                <a:srgbClr val="000000"/>
              </a:solidFill>
              <a:latin typeface="Arial"/>
              <a:cs typeface="Arial"/>
            </a:rPr>
            <a:t>TX &amp; RX</a:t>
          </a:r>
        </a:p>
        <a:p>
          <a:pPr algn="ctr" rtl="0">
            <a:lnSpc>
              <a:spcPts val="1100"/>
            </a:lnSpc>
            <a:defRPr sz="1000"/>
          </a:pPr>
          <a:r>
            <a:rPr lang="en-AU" sz="1000" b="1" i="0" u="none" strike="noStrike" baseline="0">
              <a:solidFill>
                <a:srgbClr val="000000"/>
              </a:solidFill>
              <a:latin typeface="Arial"/>
              <a:cs typeface="Arial"/>
            </a:rPr>
            <a:t>Characteristics </a:t>
          </a:r>
          <a:endParaRPr lang="en-AU"/>
        </a:p>
      </xdr:txBody>
    </xdr:sp>
    <xdr:clientData/>
  </xdr:oneCellAnchor>
  <xdr:twoCellAnchor>
    <xdr:from>
      <xdr:col>2</xdr:col>
      <xdr:colOff>409575</xdr:colOff>
      <xdr:row>14</xdr:row>
      <xdr:rowOff>47625</xdr:rowOff>
    </xdr:from>
    <xdr:to>
      <xdr:col>3</xdr:col>
      <xdr:colOff>19050</xdr:colOff>
      <xdr:row>18</xdr:row>
      <xdr:rowOff>180975</xdr:rowOff>
    </xdr:to>
    <xdr:sp macro="" textlink="">
      <xdr:nvSpPr>
        <xdr:cNvPr id="566302" name="AutoShape 58">
          <a:extLst>
            <a:ext uri="{FF2B5EF4-FFF2-40B4-BE49-F238E27FC236}">
              <a16:creationId xmlns:a16="http://schemas.microsoft.com/office/drawing/2014/main" id="{39C01103-FBA4-4478-AE6B-427E8D9C8BAD}"/>
            </a:ext>
          </a:extLst>
        </xdr:cNvPr>
        <xdr:cNvSpPr>
          <a:spLocks/>
        </xdr:cNvSpPr>
      </xdr:nvSpPr>
      <xdr:spPr bwMode="auto">
        <a:xfrm>
          <a:off x="1019175" y="3762375"/>
          <a:ext cx="161925" cy="1123950"/>
        </a:xfrm>
        <a:prstGeom prst="leftBrace">
          <a:avLst>
            <a:gd name="adj1" fmla="val 57843"/>
            <a:gd name="adj2" fmla="val 49153"/>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xdr:col>
      <xdr:colOff>76200</xdr:colOff>
      <xdr:row>15</xdr:row>
      <xdr:rowOff>161925</xdr:rowOff>
    </xdr:from>
    <xdr:ext cx="942975" cy="342900"/>
    <xdr:sp macro="" textlink="">
      <xdr:nvSpPr>
        <xdr:cNvPr id="369723" name="Text Box 59">
          <a:extLst>
            <a:ext uri="{FF2B5EF4-FFF2-40B4-BE49-F238E27FC236}">
              <a16:creationId xmlns:a16="http://schemas.microsoft.com/office/drawing/2014/main" id="{9A4550FF-FECC-4F1F-ACDF-C268680797D0}"/>
            </a:ext>
          </a:extLst>
        </xdr:cNvPr>
        <xdr:cNvSpPr txBox="1">
          <a:spLocks noChangeArrowheads="1"/>
        </xdr:cNvSpPr>
      </xdr:nvSpPr>
      <xdr:spPr bwMode="auto">
        <a:xfrm>
          <a:off x="76200" y="4124325"/>
          <a:ext cx="981075" cy="361950"/>
        </a:xfrm>
        <a:prstGeom prst="rect">
          <a:avLst/>
        </a:prstGeom>
        <a:noFill/>
        <a:ln>
          <a:noFill/>
        </a:ln>
      </xdr:spPr>
      <xdr:txBody>
        <a:bodyPr wrap="none" lIns="18288" tIns="22860" rIns="18288" bIns="0" anchor="t" upright="1">
          <a:spAutoFit/>
        </a:bodyPr>
        <a:lstStyle/>
        <a:p>
          <a:pPr algn="ctr" rtl="0">
            <a:defRPr sz="1000"/>
          </a:pPr>
          <a:r>
            <a:rPr lang="en-AU" sz="1000" b="1" i="0" u="none" strike="noStrike" baseline="0">
              <a:solidFill>
                <a:srgbClr val="000000"/>
              </a:solidFill>
              <a:latin typeface="Arial"/>
              <a:cs typeface="Arial"/>
            </a:rPr>
            <a:t>Meteorological</a:t>
          </a:r>
        </a:p>
        <a:p>
          <a:pPr algn="ctr" rtl="0">
            <a:defRPr sz="1000"/>
          </a:pPr>
          <a:r>
            <a:rPr lang="en-AU" sz="1000" b="1" i="0" u="none" strike="noStrike" baseline="0">
              <a:solidFill>
                <a:srgbClr val="000000"/>
              </a:solidFill>
              <a:latin typeface="Arial"/>
              <a:cs typeface="Arial"/>
            </a:rPr>
            <a:t>Effects</a:t>
          </a:r>
          <a:endParaRPr lang="en-AU"/>
        </a:p>
      </xdr:txBody>
    </xdr:sp>
    <xdr:clientData/>
  </xdr:oneCellAnchor>
  <xdr:twoCellAnchor>
    <xdr:from>
      <xdr:col>3</xdr:col>
      <xdr:colOff>2562225</xdr:colOff>
      <xdr:row>3</xdr:row>
      <xdr:rowOff>219075</xdr:rowOff>
    </xdr:from>
    <xdr:to>
      <xdr:col>3</xdr:col>
      <xdr:colOff>2752725</xdr:colOff>
      <xdr:row>7</xdr:row>
      <xdr:rowOff>38100</xdr:rowOff>
    </xdr:to>
    <xdr:sp macro="" textlink="">
      <xdr:nvSpPr>
        <xdr:cNvPr id="566304" name="AutoShape 61">
          <a:extLst>
            <a:ext uri="{FF2B5EF4-FFF2-40B4-BE49-F238E27FC236}">
              <a16:creationId xmlns:a16="http://schemas.microsoft.com/office/drawing/2014/main" id="{9FBEA209-E280-4C68-9E6F-F82C834824DC}"/>
            </a:ext>
          </a:extLst>
        </xdr:cNvPr>
        <xdr:cNvSpPr>
          <a:spLocks/>
        </xdr:cNvSpPr>
      </xdr:nvSpPr>
      <xdr:spPr bwMode="auto">
        <a:xfrm>
          <a:off x="3724275" y="714375"/>
          <a:ext cx="190500" cy="809625"/>
        </a:xfrm>
        <a:prstGeom prst="leftBrace">
          <a:avLst>
            <a:gd name="adj1" fmla="val 35417"/>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38100</xdr:colOff>
      <xdr:row>15</xdr:row>
      <xdr:rowOff>228600</xdr:rowOff>
    </xdr:from>
    <xdr:to>
      <xdr:col>6</xdr:col>
      <xdr:colOff>219075</xdr:colOff>
      <xdr:row>19</xdr:row>
      <xdr:rowOff>9525</xdr:rowOff>
    </xdr:to>
    <xdr:sp macro="" textlink="">
      <xdr:nvSpPr>
        <xdr:cNvPr id="566305" name="AutoShape 63">
          <a:extLst>
            <a:ext uri="{FF2B5EF4-FFF2-40B4-BE49-F238E27FC236}">
              <a16:creationId xmlns:a16="http://schemas.microsoft.com/office/drawing/2014/main" id="{0F90B0D1-5C2D-493F-BD3C-4D2C42B48FF3}"/>
            </a:ext>
          </a:extLst>
        </xdr:cNvPr>
        <xdr:cNvSpPr>
          <a:spLocks/>
        </xdr:cNvSpPr>
      </xdr:nvSpPr>
      <xdr:spPr bwMode="auto">
        <a:xfrm>
          <a:off x="7096125" y="4191000"/>
          <a:ext cx="180975" cy="771525"/>
        </a:xfrm>
        <a:prstGeom prst="rightBrace">
          <a:avLst>
            <a:gd name="adj1" fmla="val 35526"/>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38100</xdr:colOff>
      <xdr:row>17</xdr:row>
      <xdr:rowOff>123825</xdr:rowOff>
    </xdr:from>
    <xdr:to>
      <xdr:col>10</xdr:col>
      <xdr:colOff>257175</xdr:colOff>
      <xdr:row>17</xdr:row>
      <xdr:rowOff>123825</xdr:rowOff>
    </xdr:to>
    <xdr:sp macro="" textlink="">
      <xdr:nvSpPr>
        <xdr:cNvPr id="566306" name="Line 64">
          <a:extLst>
            <a:ext uri="{FF2B5EF4-FFF2-40B4-BE49-F238E27FC236}">
              <a16:creationId xmlns:a16="http://schemas.microsoft.com/office/drawing/2014/main" id="{CAF80B0A-5F23-4621-B6DA-D1DEFFD1C1D6}"/>
            </a:ext>
          </a:extLst>
        </xdr:cNvPr>
        <xdr:cNvSpPr>
          <a:spLocks noChangeShapeType="1"/>
        </xdr:cNvSpPr>
      </xdr:nvSpPr>
      <xdr:spPr bwMode="auto">
        <a:xfrm flipH="1">
          <a:off x="9982200" y="4581525"/>
          <a:ext cx="2190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104775</xdr:colOff>
      <xdr:row>56</xdr:row>
      <xdr:rowOff>133350</xdr:rowOff>
    </xdr:from>
    <xdr:to>
      <xdr:col>3</xdr:col>
      <xdr:colOff>0</xdr:colOff>
      <xdr:row>56</xdr:row>
      <xdr:rowOff>133350</xdr:rowOff>
    </xdr:to>
    <xdr:sp macro="" textlink="">
      <xdr:nvSpPr>
        <xdr:cNvPr id="566307" name="Line 66">
          <a:extLst>
            <a:ext uri="{FF2B5EF4-FFF2-40B4-BE49-F238E27FC236}">
              <a16:creationId xmlns:a16="http://schemas.microsoft.com/office/drawing/2014/main" id="{BC2A4CE6-385E-439B-B015-FDD332728FDA}"/>
            </a:ext>
          </a:extLst>
        </xdr:cNvPr>
        <xdr:cNvSpPr>
          <a:spLocks noChangeShapeType="1"/>
        </xdr:cNvSpPr>
      </xdr:nvSpPr>
      <xdr:spPr bwMode="auto">
        <a:xfrm>
          <a:off x="714375" y="11372850"/>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57150</xdr:colOff>
      <xdr:row>40</xdr:row>
      <xdr:rowOff>121714</xdr:rowOff>
    </xdr:from>
    <xdr:to>
      <xdr:col>2</xdr:col>
      <xdr:colOff>504825</xdr:colOff>
      <xdr:row>40</xdr:row>
      <xdr:rowOff>121714</xdr:rowOff>
    </xdr:to>
    <xdr:sp macro="" textlink="">
      <xdr:nvSpPr>
        <xdr:cNvPr id="566308" name="Line 67">
          <a:extLst>
            <a:ext uri="{FF2B5EF4-FFF2-40B4-BE49-F238E27FC236}">
              <a16:creationId xmlns:a16="http://schemas.microsoft.com/office/drawing/2014/main" id="{3820F934-2360-4A04-AAF2-6BD5EDE774FA}"/>
            </a:ext>
          </a:extLst>
        </xdr:cNvPr>
        <xdr:cNvSpPr>
          <a:spLocks noChangeShapeType="1"/>
        </xdr:cNvSpPr>
      </xdr:nvSpPr>
      <xdr:spPr bwMode="auto">
        <a:xfrm>
          <a:off x="670983" y="10017131"/>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85725</xdr:colOff>
      <xdr:row>32</xdr:row>
      <xdr:rowOff>124882</xdr:rowOff>
    </xdr:from>
    <xdr:to>
      <xdr:col>2</xdr:col>
      <xdr:colOff>533400</xdr:colOff>
      <xdr:row>32</xdr:row>
      <xdr:rowOff>124882</xdr:rowOff>
    </xdr:to>
    <xdr:sp macro="" textlink="">
      <xdr:nvSpPr>
        <xdr:cNvPr id="566309" name="Line 68">
          <a:extLst>
            <a:ext uri="{FF2B5EF4-FFF2-40B4-BE49-F238E27FC236}">
              <a16:creationId xmlns:a16="http://schemas.microsoft.com/office/drawing/2014/main" id="{ADBD6B71-3F1E-41DE-A647-54CF961718EF}"/>
            </a:ext>
          </a:extLst>
        </xdr:cNvPr>
        <xdr:cNvSpPr>
          <a:spLocks noChangeShapeType="1"/>
        </xdr:cNvSpPr>
      </xdr:nvSpPr>
      <xdr:spPr bwMode="auto">
        <a:xfrm>
          <a:off x="699558" y="7829549"/>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66675</xdr:colOff>
      <xdr:row>66</xdr:row>
      <xdr:rowOff>121705</xdr:rowOff>
    </xdr:from>
    <xdr:to>
      <xdr:col>2</xdr:col>
      <xdr:colOff>514350</xdr:colOff>
      <xdr:row>66</xdr:row>
      <xdr:rowOff>121705</xdr:rowOff>
    </xdr:to>
    <xdr:sp macro="" textlink="">
      <xdr:nvSpPr>
        <xdr:cNvPr id="566310" name="Line 66">
          <a:extLst>
            <a:ext uri="{FF2B5EF4-FFF2-40B4-BE49-F238E27FC236}">
              <a16:creationId xmlns:a16="http://schemas.microsoft.com/office/drawing/2014/main" id="{840D5CF1-ADAB-4AD0-A36A-655D3B8B18A3}"/>
            </a:ext>
          </a:extLst>
        </xdr:cNvPr>
        <xdr:cNvSpPr>
          <a:spLocks noChangeShapeType="1"/>
        </xdr:cNvSpPr>
      </xdr:nvSpPr>
      <xdr:spPr bwMode="auto">
        <a:xfrm>
          <a:off x="680508" y="16345955"/>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66675</xdr:colOff>
      <xdr:row>71</xdr:row>
      <xdr:rowOff>142874</xdr:rowOff>
    </xdr:from>
    <xdr:to>
      <xdr:col>2</xdr:col>
      <xdr:colOff>514350</xdr:colOff>
      <xdr:row>71</xdr:row>
      <xdr:rowOff>142874</xdr:rowOff>
    </xdr:to>
    <xdr:sp macro="" textlink="">
      <xdr:nvSpPr>
        <xdr:cNvPr id="17" name="Line 66">
          <a:extLst>
            <a:ext uri="{FF2B5EF4-FFF2-40B4-BE49-F238E27FC236}">
              <a16:creationId xmlns:a16="http://schemas.microsoft.com/office/drawing/2014/main" id="{DD10B8AD-FAD5-474F-BC5B-9991E2397C0A}"/>
            </a:ext>
          </a:extLst>
        </xdr:cNvPr>
        <xdr:cNvSpPr>
          <a:spLocks noChangeShapeType="1"/>
        </xdr:cNvSpPr>
      </xdr:nvSpPr>
      <xdr:spPr bwMode="auto">
        <a:xfrm>
          <a:off x="680508" y="16684624"/>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57150</xdr:colOff>
      <xdr:row>45</xdr:row>
      <xdr:rowOff>100550</xdr:rowOff>
    </xdr:from>
    <xdr:to>
      <xdr:col>2</xdr:col>
      <xdr:colOff>504825</xdr:colOff>
      <xdr:row>45</xdr:row>
      <xdr:rowOff>100550</xdr:rowOff>
    </xdr:to>
    <xdr:sp macro="" textlink="">
      <xdr:nvSpPr>
        <xdr:cNvPr id="18" name="Line 67">
          <a:extLst>
            <a:ext uri="{FF2B5EF4-FFF2-40B4-BE49-F238E27FC236}">
              <a16:creationId xmlns:a16="http://schemas.microsoft.com/office/drawing/2014/main" id="{5ABE6CCA-14EB-41AC-9560-7E0926F1B442}"/>
            </a:ext>
          </a:extLst>
        </xdr:cNvPr>
        <xdr:cNvSpPr>
          <a:spLocks noChangeShapeType="1"/>
        </xdr:cNvSpPr>
      </xdr:nvSpPr>
      <xdr:spPr bwMode="auto">
        <a:xfrm>
          <a:off x="670983" y="10313467"/>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133350</xdr:colOff>
      <xdr:row>34</xdr:row>
      <xdr:rowOff>0</xdr:rowOff>
    </xdr:from>
    <xdr:to>
      <xdr:col>6</xdr:col>
      <xdr:colOff>361950</xdr:colOff>
      <xdr:row>37</xdr:row>
      <xdr:rowOff>0</xdr:rowOff>
    </xdr:to>
    <xdr:sp macro="" textlink="">
      <xdr:nvSpPr>
        <xdr:cNvPr id="20" name="AutoShape 22">
          <a:extLst>
            <a:ext uri="{FF2B5EF4-FFF2-40B4-BE49-F238E27FC236}">
              <a16:creationId xmlns:a16="http://schemas.microsoft.com/office/drawing/2014/main" id="{9F5A4E7B-1F38-4823-A2BB-090D26E27B56}"/>
            </a:ext>
          </a:extLst>
        </xdr:cNvPr>
        <xdr:cNvSpPr>
          <a:spLocks/>
        </xdr:cNvSpPr>
      </xdr:nvSpPr>
      <xdr:spPr bwMode="auto">
        <a:xfrm>
          <a:off x="7181850" y="13377333"/>
          <a:ext cx="209550" cy="730250"/>
        </a:xfrm>
        <a:prstGeom prst="rightBrace">
          <a:avLst>
            <a:gd name="adj1" fmla="val 36111"/>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345017</xdr:colOff>
      <xdr:row>25</xdr:row>
      <xdr:rowOff>42342</xdr:rowOff>
    </xdr:from>
    <xdr:to>
      <xdr:col>8</xdr:col>
      <xdr:colOff>636059</xdr:colOff>
      <xdr:row>34</xdr:row>
      <xdr:rowOff>76209</xdr:rowOff>
    </xdr:to>
    <xdr:sp macro="" textlink="">
      <xdr:nvSpPr>
        <xdr:cNvPr id="21" name="AutoShape 19">
          <a:extLst>
            <a:ext uri="{FF2B5EF4-FFF2-40B4-BE49-F238E27FC236}">
              <a16:creationId xmlns:a16="http://schemas.microsoft.com/office/drawing/2014/main" id="{B2940902-FF3D-4D1E-93B5-72F4AFEA157B}"/>
            </a:ext>
          </a:extLst>
        </xdr:cNvPr>
        <xdr:cNvSpPr>
          <a:spLocks/>
        </xdr:cNvSpPr>
      </xdr:nvSpPr>
      <xdr:spPr bwMode="auto">
        <a:xfrm>
          <a:off x="8801100" y="5757342"/>
          <a:ext cx="291042" cy="1981200"/>
        </a:xfrm>
        <a:prstGeom prst="rightBrace">
          <a:avLst>
            <a:gd name="adj1" fmla="val 56989"/>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422028</xdr:colOff>
      <xdr:row>22</xdr:row>
      <xdr:rowOff>51293</xdr:rowOff>
    </xdr:from>
    <xdr:to>
      <xdr:col>26</xdr:col>
      <xdr:colOff>86789</xdr:colOff>
      <xdr:row>47</xdr:row>
      <xdr:rowOff>100043</xdr:rowOff>
    </xdr:to>
    <xdr:sp macro="" textlink="">
      <xdr:nvSpPr>
        <xdr:cNvPr id="76" name="Chord 75">
          <a:extLst>
            <a:ext uri="{FF2B5EF4-FFF2-40B4-BE49-F238E27FC236}">
              <a16:creationId xmlns:a16="http://schemas.microsoft.com/office/drawing/2014/main" id="{A52EB4BF-F5F6-4E99-812B-F9F5905392FE}"/>
            </a:ext>
          </a:extLst>
        </xdr:cNvPr>
        <xdr:cNvSpPr/>
      </xdr:nvSpPr>
      <xdr:spPr bwMode="auto">
        <a:xfrm rot="9669826">
          <a:off x="14804778" y="4004168"/>
          <a:ext cx="3931961" cy="4268325"/>
        </a:xfrm>
        <a:prstGeom prst="chord">
          <a:avLst>
            <a:gd name="adj1" fmla="val 2700000"/>
            <a:gd name="adj2" fmla="val 10280134"/>
          </a:avLst>
        </a:prstGeom>
        <a:solidFill>
          <a:schemeClr val="accent5">
            <a:lumMod val="60000"/>
            <a:lumOff val="40000"/>
          </a:schemeClr>
        </a:solidFill>
        <a:ln w="9525" cap="flat" cmpd="sng" algn="ctr">
          <a:solidFill>
            <a:sysClr val="windowText" lastClr="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17</xdr:col>
      <xdr:colOff>437989</xdr:colOff>
      <xdr:row>7</xdr:row>
      <xdr:rowOff>6793</xdr:rowOff>
    </xdr:from>
    <xdr:to>
      <xdr:col>26</xdr:col>
      <xdr:colOff>142258</xdr:colOff>
      <xdr:row>27</xdr:row>
      <xdr:rowOff>87999</xdr:rowOff>
    </xdr:to>
    <xdr:sp macro="" textlink="">
      <xdr:nvSpPr>
        <xdr:cNvPr id="82" name="Arc 81">
          <a:extLst>
            <a:ext uri="{FF2B5EF4-FFF2-40B4-BE49-F238E27FC236}">
              <a16:creationId xmlns:a16="http://schemas.microsoft.com/office/drawing/2014/main" id="{CC061792-6032-46BC-AE62-62AEC6356D69}"/>
            </a:ext>
          </a:extLst>
        </xdr:cNvPr>
        <xdr:cNvSpPr/>
      </xdr:nvSpPr>
      <xdr:spPr bwMode="auto">
        <a:xfrm rot="11755105">
          <a:off x="13601539" y="1340293"/>
          <a:ext cx="5190669" cy="3576881"/>
        </a:xfrm>
        <a:prstGeom prst="arc">
          <a:avLst>
            <a:gd name="adj1" fmla="val 14313654"/>
            <a:gd name="adj2" fmla="val 17273465"/>
          </a:avLst>
        </a:prstGeom>
        <a:noFill/>
        <a:ln w="9525" cap="flat" cmpd="sng" algn="ctr">
          <a:solidFill>
            <a:srgbClr val="000000"/>
          </a:solidFill>
          <a:prstDash val="solid"/>
          <a:round/>
          <a:headEnd type="triangl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4</xdr:col>
      <xdr:colOff>317500</xdr:colOff>
      <xdr:row>10</xdr:row>
      <xdr:rowOff>12700</xdr:rowOff>
    </xdr:from>
    <xdr:to>
      <xdr:col>5</xdr:col>
      <xdr:colOff>342900</xdr:colOff>
      <xdr:row>13</xdr:row>
      <xdr:rowOff>139700</xdr:rowOff>
    </xdr:to>
    <xdr:sp macro="" textlink="">
      <xdr:nvSpPr>
        <xdr:cNvPr id="2" name="Oval 46">
          <a:extLst>
            <a:ext uri="{FF2B5EF4-FFF2-40B4-BE49-F238E27FC236}">
              <a16:creationId xmlns:a16="http://schemas.microsoft.com/office/drawing/2014/main" id="{94690031-D421-47B1-8642-8EFA56872D6F}"/>
            </a:ext>
          </a:extLst>
        </xdr:cNvPr>
        <xdr:cNvSpPr>
          <a:spLocks noChangeArrowheads="1"/>
        </xdr:cNvSpPr>
      </xdr:nvSpPr>
      <xdr:spPr bwMode="auto">
        <a:xfrm>
          <a:off x="5089525" y="7966075"/>
          <a:ext cx="644525" cy="612775"/>
        </a:xfrm>
        <a:prstGeom prst="ellipse">
          <a:avLst/>
        </a:prstGeom>
        <a:solidFill>
          <a:srgbClr val="00CCFF"/>
        </a:solidFill>
        <a:ln w="9525">
          <a:solidFill>
            <a:srgbClr val="000000"/>
          </a:solidFill>
          <a:round/>
          <a:headEnd/>
          <a:tailEnd/>
        </a:ln>
      </xdr:spPr>
      <xdr:txBody>
        <a:bodyPr rtlCol="0"/>
        <a:lstStyle/>
        <a:p>
          <a:pPr algn="ctr"/>
          <a:endParaRPr lang="en-US"/>
        </a:p>
      </xdr:txBody>
    </xdr:sp>
    <xdr:clientData/>
  </xdr:twoCellAnchor>
  <xdr:twoCellAnchor>
    <xdr:from>
      <xdr:col>4</xdr:col>
      <xdr:colOff>0</xdr:colOff>
      <xdr:row>3</xdr:row>
      <xdr:rowOff>25400</xdr:rowOff>
    </xdr:from>
    <xdr:to>
      <xdr:col>11</xdr:col>
      <xdr:colOff>406400</xdr:colOff>
      <xdr:row>20</xdr:row>
      <xdr:rowOff>114300</xdr:rowOff>
    </xdr:to>
    <xdr:sp macro="" textlink="">
      <xdr:nvSpPr>
        <xdr:cNvPr id="3" name="Oval 47">
          <a:extLst>
            <a:ext uri="{FF2B5EF4-FFF2-40B4-BE49-F238E27FC236}">
              <a16:creationId xmlns:a16="http://schemas.microsoft.com/office/drawing/2014/main" id="{5F0C4EC6-86A8-4672-9F7A-1B644090FFCC}"/>
            </a:ext>
          </a:extLst>
        </xdr:cNvPr>
        <xdr:cNvSpPr>
          <a:spLocks noChangeArrowheads="1"/>
        </xdr:cNvSpPr>
      </xdr:nvSpPr>
      <xdr:spPr bwMode="auto">
        <a:xfrm>
          <a:off x="4772025" y="6845300"/>
          <a:ext cx="4968875" cy="2841625"/>
        </a:xfrm>
        <a:prstGeom prst="ellipse">
          <a:avLst/>
        </a:prstGeom>
        <a:noFill/>
        <a:ln w="28575">
          <a:solidFill>
            <a:srgbClr val="000000"/>
          </a:solidFill>
          <a:round/>
          <a:headEnd/>
          <a:tailEnd/>
        </a:ln>
        <a:extLst>
          <a:ext uri="{909E8E84-426E-40dd-AFC4-6F175D3DCCD1}">
            <a14:hiddenFill xmlns="" xmlns:a14="http://schemas.microsoft.com/office/drawing/2010/main">
              <a:solidFill>
                <a:srgbClr val="FFFFFF"/>
              </a:solidFill>
            </a14:hiddenFill>
          </a:ext>
        </a:extLst>
      </xdr:spPr>
      <xdr:txBody>
        <a:bodyPr rtlCol="0"/>
        <a:lstStyle/>
        <a:p>
          <a:pPr algn="ctr"/>
          <a:endParaRPr lang="en-US"/>
        </a:p>
      </xdr:txBody>
    </xdr:sp>
    <xdr:clientData/>
  </xdr:twoCellAnchor>
  <xdr:twoCellAnchor>
    <xdr:from>
      <xdr:col>3</xdr:col>
      <xdr:colOff>685800</xdr:colOff>
      <xdr:row>12</xdr:row>
      <xdr:rowOff>0</xdr:rowOff>
    </xdr:from>
    <xdr:to>
      <xdr:col>11</xdr:col>
      <xdr:colOff>393700</xdr:colOff>
      <xdr:row>12</xdr:row>
      <xdr:rowOff>0</xdr:rowOff>
    </xdr:to>
    <xdr:sp macro="" textlink="">
      <xdr:nvSpPr>
        <xdr:cNvPr id="4" name="Line 48">
          <a:extLst>
            <a:ext uri="{FF2B5EF4-FFF2-40B4-BE49-F238E27FC236}">
              <a16:creationId xmlns:a16="http://schemas.microsoft.com/office/drawing/2014/main" id="{5BF990E4-A8AB-45DB-9F04-36D2B97C9BAB}"/>
            </a:ext>
          </a:extLst>
        </xdr:cNvPr>
        <xdr:cNvSpPr>
          <a:spLocks noChangeShapeType="1"/>
        </xdr:cNvSpPr>
      </xdr:nvSpPr>
      <xdr:spPr bwMode="auto">
        <a:xfrm>
          <a:off x="4705350" y="8277225"/>
          <a:ext cx="5022850" cy="0"/>
        </a:xfrm>
        <a:prstGeom prst="line">
          <a:avLst/>
        </a:prstGeom>
        <a:noFill/>
        <a:ln w="9525">
          <a:solidFill>
            <a:srgbClr val="000000"/>
          </a:solidFill>
          <a:prstDash val="lgDashDotDot"/>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10</xdr:col>
      <xdr:colOff>190500</xdr:colOff>
      <xdr:row>5</xdr:row>
      <xdr:rowOff>19050</xdr:rowOff>
    </xdr:from>
    <xdr:to>
      <xdr:col>10</xdr:col>
      <xdr:colOff>406400</xdr:colOff>
      <xdr:row>6</xdr:row>
      <xdr:rowOff>19050</xdr:rowOff>
    </xdr:to>
    <xdr:sp macro="" textlink="">
      <xdr:nvSpPr>
        <xdr:cNvPr id="5" name="AutoShape 49">
          <a:extLst>
            <a:ext uri="{FF2B5EF4-FFF2-40B4-BE49-F238E27FC236}">
              <a16:creationId xmlns:a16="http://schemas.microsoft.com/office/drawing/2014/main" id="{F6F6749C-53EE-4B8B-A651-CA2CB74BE5E0}"/>
            </a:ext>
          </a:extLst>
        </xdr:cNvPr>
        <xdr:cNvSpPr>
          <a:spLocks noChangeArrowheads="1"/>
        </xdr:cNvSpPr>
      </xdr:nvSpPr>
      <xdr:spPr bwMode="auto">
        <a:xfrm rot="725685">
          <a:off x="8832850" y="927100"/>
          <a:ext cx="215900" cy="165100"/>
        </a:xfrm>
        <a:prstGeom prst="flowChartMagneticDrum">
          <a:avLst/>
        </a:prstGeom>
        <a:solidFill>
          <a:srgbClr val="FFFFFF"/>
        </a:solidFill>
        <a:ln w="9525">
          <a:solidFill>
            <a:srgbClr val="000000"/>
          </a:solidFill>
          <a:round/>
          <a:headEnd/>
          <a:tailEnd/>
        </a:ln>
      </xdr:spPr>
      <xdr:txBody>
        <a:bodyPr rtlCol="0"/>
        <a:lstStyle/>
        <a:p>
          <a:pPr algn="ctr"/>
          <a:endParaRPr lang="en-US"/>
        </a:p>
      </xdr:txBody>
    </xdr:sp>
    <xdr:clientData/>
  </xdr:twoCellAnchor>
  <xdr:twoCellAnchor>
    <xdr:from>
      <xdr:col>9</xdr:col>
      <xdr:colOff>323850</xdr:colOff>
      <xdr:row>4</xdr:row>
      <xdr:rowOff>133350</xdr:rowOff>
    </xdr:from>
    <xdr:to>
      <xdr:col>10</xdr:col>
      <xdr:colOff>292100</xdr:colOff>
      <xdr:row>5</xdr:row>
      <xdr:rowOff>101600</xdr:rowOff>
    </xdr:to>
    <xdr:sp macro="" textlink="">
      <xdr:nvSpPr>
        <xdr:cNvPr id="6" name="Line 50">
          <a:extLst>
            <a:ext uri="{FF2B5EF4-FFF2-40B4-BE49-F238E27FC236}">
              <a16:creationId xmlns:a16="http://schemas.microsoft.com/office/drawing/2014/main" id="{2F3EF153-95E8-4BD2-8ABF-57EF72A10A7D}"/>
            </a:ext>
          </a:extLst>
        </xdr:cNvPr>
        <xdr:cNvSpPr>
          <a:spLocks noChangeShapeType="1"/>
        </xdr:cNvSpPr>
      </xdr:nvSpPr>
      <xdr:spPr bwMode="auto">
        <a:xfrm flipH="1" flipV="1">
          <a:off x="8242300" y="876300"/>
          <a:ext cx="692150" cy="1333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4</xdr:col>
      <xdr:colOff>685800</xdr:colOff>
      <xdr:row>5</xdr:row>
      <xdr:rowOff>88900</xdr:rowOff>
    </xdr:from>
    <xdr:to>
      <xdr:col>10</xdr:col>
      <xdr:colOff>292100</xdr:colOff>
      <xdr:row>12</xdr:row>
      <xdr:rowOff>0</xdr:rowOff>
    </xdr:to>
    <xdr:sp macro="" textlink="">
      <xdr:nvSpPr>
        <xdr:cNvPr id="7" name="Line 51">
          <a:extLst>
            <a:ext uri="{FF2B5EF4-FFF2-40B4-BE49-F238E27FC236}">
              <a16:creationId xmlns:a16="http://schemas.microsoft.com/office/drawing/2014/main" id="{B30E55B7-3C88-4A7C-A09A-9D80D2AB0170}"/>
            </a:ext>
          </a:extLst>
        </xdr:cNvPr>
        <xdr:cNvSpPr>
          <a:spLocks noChangeShapeType="1"/>
        </xdr:cNvSpPr>
      </xdr:nvSpPr>
      <xdr:spPr bwMode="auto">
        <a:xfrm flipH="1">
          <a:off x="5391150" y="7232650"/>
          <a:ext cx="3521075" cy="1044575"/>
        </a:xfrm>
        <a:prstGeom prst="line">
          <a:avLst/>
        </a:prstGeom>
        <a:noFill/>
        <a:ln w="9525">
          <a:solidFill>
            <a:srgbClr val="000000"/>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4</xdr:col>
      <xdr:colOff>673100</xdr:colOff>
      <xdr:row>11</xdr:row>
      <xdr:rowOff>88900</xdr:rowOff>
    </xdr:from>
    <xdr:to>
      <xdr:col>4</xdr:col>
      <xdr:colOff>673100</xdr:colOff>
      <xdr:row>12</xdr:row>
      <xdr:rowOff>76200</xdr:rowOff>
    </xdr:to>
    <xdr:sp macro="" textlink="">
      <xdr:nvSpPr>
        <xdr:cNvPr id="8" name="Line 52">
          <a:extLst>
            <a:ext uri="{FF2B5EF4-FFF2-40B4-BE49-F238E27FC236}">
              <a16:creationId xmlns:a16="http://schemas.microsoft.com/office/drawing/2014/main" id="{7766BFE1-7470-4C1F-B775-A834C4401029}"/>
            </a:ext>
          </a:extLst>
        </xdr:cNvPr>
        <xdr:cNvSpPr>
          <a:spLocks noChangeShapeType="1"/>
        </xdr:cNvSpPr>
      </xdr:nvSpPr>
      <xdr:spPr bwMode="auto">
        <a:xfrm>
          <a:off x="5387975" y="8204200"/>
          <a:ext cx="0" cy="149225"/>
        </a:xfrm>
        <a:prstGeom prst="line">
          <a:avLst/>
        </a:prstGeom>
        <a:noFill/>
        <a:ln w="9525">
          <a:solidFill>
            <a:srgbClr val="000000"/>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6</xdr:col>
      <xdr:colOff>76200</xdr:colOff>
      <xdr:row>2</xdr:row>
      <xdr:rowOff>101600</xdr:rowOff>
    </xdr:from>
    <xdr:to>
      <xdr:col>9</xdr:col>
      <xdr:colOff>285750</xdr:colOff>
      <xdr:row>4</xdr:row>
      <xdr:rowOff>127000</xdr:rowOff>
    </xdr:to>
    <xdr:sp macro="" textlink="">
      <xdr:nvSpPr>
        <xdr:cNvPr id="9" name="Line 53">
          <a:extLst>
            <a:ext uri="{FF2B5EF4-FFF2-40B4-BE49-F238E27FC236}">
              <a16:creationId xmlns:a16="http://schemas.microsoft.com/office/drawing/2014/main" id="{5C1838F4-42D3-4C8A-A9BC-B138C5AC3516}"/>
            </a:ext>
          </a:extLst>
        </xdr:cNvPr>
        <xdr:cNvSpPr>
          <a:spLocks noChangeShapeType="1"/>
        </xdr:cNvSpPr>
      </xdr:nvSpPr>
      <xdr:spPr bwMode="auto">
        <a:xfrm flipH="1" flipV="1">
          <a:off x="6127750" y="514350"/>
          <a:ext cx="2076450" cy="355600"/>
        </a:xfrm>
        <a:prstGeom prst="line">
          <a:avLst/>
        </a:prstGeom>
        <a:noFill/>
        <a:ln w="9525">
          <a:solidFill>
            <a:srgbClr val="000000"/>
          </a:solidFill>
          <a:prstDash val="lgDashDotDot"/>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5</xdr:col>
      <xdr:colOff>101600</xdr:colOff>
      <xdr:row>5</xdr:row>
      <xdr:rowOff>88900</xdr:rowOff>
    </xdr:from>
    <xdr:to>
      <xdr:col>10</xdr:col>
      <xdr:colOff>279400</xdr:colOff>
      <xdr:row>13</xdr:row>
      <xdr:rowOff>127000</xdr:rowOff>
    </xdr:to>
    <xdr:sp macro="" textlink="">
      <xdr:nvSpPr>
        <xdr:cNvPr id="10" name="Line 54">
          <a:extLst>
            <a:ext uri="{FF2B5EF4-FFF2-40B4-BE49-F238E27FC236}">
              <a16:creationId xmlns:a16="http://schemas.microsoft.com/office/drawing/2014/main" id="{1E9E1BBF-F939-4A2C-B352-29DF904BDBAD}"/>
            </a:ext>
          </a:extLst>
        </xdr:cNvPr>
        <xdr:cNvSpPr>
          <a:spLocks noChangeShapeType="1"/>
        </xdr:cNvSpPr>
      </xdr:nvSpPr>
      <xdr:spPr bwMode="auto">
        <a:xfrm flipH="1">
          <a:off x="5492750" y="7232650"/>
          <a:ext cx="3406775" cy="1333500"/>
        </a:xfrm>
        <a:prstGeom prst="line">
          <a:avLst/>
        </a:prstGeom>
        <a:noFill/>
        <a:ln w="9525">
          <a:solidFill>
            <a:srgbClr val="FF0000"/>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3</xdr:col>
      <xdr:colOff>215900</xdr:colOff>
      <xdr:row>42</xdr:row>
      <xdr:rowOff>66675</xdr:rowOff>
    </xdr:from>
    <xdr:ext cx="3127840" cy="330860"/>
    <xdr:sp macro="" textlink="">
      <xdr:nvSpPr>
        <xdr:cNvPr id="11" name="Text Box 55">
          <a:extLst>
            <a:ext uri="{FF2B5EF4-FFF2-40B4-BE49-F238E27FC236}">
              <a16:creationId xmlns:a16="http://schemas.microsoft.com/office/drawing/2014/main" id="{A89E7A94-8A9A-4DF7-80F9-3013C2B758D3}"/>
            </a:ext>
          </a:extLst>
        </xdr:cNvPr>
        <xdr:cNvSpPr txBox="1">
          <a:spLocks noChangeArrowheads="1"/>
        </xdr:cNvSpPr>
      </xdr:nvSpPr>
      <xdr:spPr bwMode="auto">
        <a:xfrm>
          <a:off x="4235450" y="13315950"/>
          <a:ext cx="3127840" cy="3308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3) </a:t>
          </a:r>
          <a:r>
            <a:rPr lang="en-US" sz="1000" b="0" i="0" strike="noStrike">
              <a:solidFill>
                <a:srgbClr val="000000"/>
              </a:solidFill>
              <a:latin typeface="Arial"/>
              <a:cs typeface="Arial"/>
            </a:rPr>
            <a:t>If CASE No. 14 is Selected, Choose Mean  Anomaly </a:t>
          </a:r>
        </a:p>
        <a:p>
          <a:pPr algn="l" rtl="0">
            <a:defRPr sz="1000"/>
          </a:pPr>
          <a:r>
            <a:rPr lang="en-US" sz="1000" b="0" i="0" strike="noStrike">
              <a:solidFill>
                <a:srgbClr val="000000"/>
              </a:solidFill>
              <a:latin typeface="Arial"/>
              <a:cs typeface="Arial"/>
            </a:rPr>
            <a:t>Value and S/C Rcvr Antenna Temp. and Enter Here.</a:t>
          </a:r>
        </a:p>
      </xdr:txBody>
    </xdr:sp>
    <xdr:clientData/>
  </xdr:oneCellAnchor>
  <xdr:twoCellAnchor>
    <xdr:from>
      <xdr:col>3</xdr:col>
      <xdr:colOff>190500</xdr:colOff>
      <xdr:row>42</xdr:row>
      <xdr:rowOff>38100</xdr:rowOff>
    </xdr:from>
    <xdr:to>
      <xdr:col>8</xdr:col>
      <xdr:colOff>228600</xdr:colOff>
      <xdr:row>44</xdr:row>
      <xdr:rowOff>101600</xdr:rowOff>
    </xdr:to>
    <xdr:sp macro="" textlink="">
      <xdr:nvSpPr>
        <xdr:cNvPr id="12" name="Rectangle 56">
          <a:extLst>
            <a:ext uri="{FF2B5EF4-FFF2-40B4-BE49-F238E27FC236}">
              <a16:creationId xmlns:a16="http://schemas.microsoft.com/office/drawing/2014/main" id="{9CB14A8E-1E82-438F-864B-AD98063FE39D}"/>
            </a:ext>
          </a:extLst>
        </xdr:cNvPr>
        <xdr:cNvSpPr>
          <a:spLocks noChangeArrowheads="1"/>
        </xdr:cNvSpPr>
      </xdr:nvSpPr>
      <xdr:spPr bwMode="auto">
        <a:xfrm>
          <a:off x="4210050" y="13287375"/>
          <a:ext cx="3314700" cy="387350"/>
        </a:xfrm>
        <a:prstGeom prst="rect">
          <a:avLst/>
        </a:prstGeom>
        <a:noFill/>
        <a:ln w="19050">
          <a:solidFill>
            <a:srgbClr val="000000"/>
          </a:solidFill>
          <a:miter lim="800000"/>
          <a:headEnd/>
          <a:tailEnd/>
        </a:ln>
        <a:extLst>
          <a:ext uri="{909E8E84-426E-40dd-AFC4-6F175D3DCCD1}">
            <a14:hiddenFill xmlns="" xmlns:a14="http://schemas.microsoft.com/office/drawing/2010/main">
              <a:solidFill>
                <a:srgbClr val="FFFFFF"/>
              </a:solidFill>
            </a14:hiddenFill>
          </a:ext>
        </a:extLst>
      </xdr:spPr>
      <xdr:txBody>
        <a:bodyPr rtlCol="0"/>
        <a:lstStyle/>
        <a:p>
          <a:pPr algn="ctr"/>
          <a:endParaRPr lang="en-US"/>
        </a:p>
      </xdr:txBody>
    </xdr:sp>
    <xdr:clientData/>
  </xdr:twoCellAnchor>
  <xdr:twoCellAnchor>
    <xdr:from>
      <xdr:col>2</xdr:col>
      <xdr:colOff>457200</xdr:colOff>
      <xdr:row>43</xdr:row>
      <xdr:rowOff>76200</xdr:rowOff>
    </xdr:from>
    <xdr:to>
      <xdr:col>3</xdr:col>
      <xdr:colOff>177800</xdr:colOff>
      <xdr:row>43</xdr:row>
      <xdr:rowOff>76200</xdr:rowOff>
    </xdr:to>
    <xdr:sp macro="" textlink="">
      <xdr:nvSpPr>
        <xdr:cNvPr id="13" name="Line 57">
          <a:extLst>
            <a:ext uri="{FF2B5EF4-FFF2-40B4-BE49-F238E27FC236}">
              <a16:creationId xmlns:a16="http://schemas.microsoft.com/office/drawing/2014/main" id="{D436F732-F6C0-4FA5-A7B1-CD3A8B59DE54}"/>
            </a:ext>
          </a:extLst>
        </xdr:cNvPr>
        <xdr:cNvSpPr>
          <a:spLocks noChangeShapeType="1"/>
        </xdr:cNvSpPr>
      </xdr:nvSpPr>
      <xdr:spPr bwMode="auto">
        <a:xfrm flipH="1">
          <a:off x="3629025" y="13487400"/>
          <a:ext cx="568325" cy="0"/>
        </a:xfrm>
        <a:prstGeom prst="line">
          <a:avLst/>
        </a:prstGeom>
        <a:noFill/>
        <a:ln w="19050">
          <a:solidFill>
            <a:srgbClr val="000000"/>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2</xdr:col>
      <xdr:colOff>469900</xdr:colOff>
      <xdr:row>40</xdr:row>
      <xdr:rowOff>139700</xdr:rowOff>
    </xdr:from>
    <xdr:to>
      <xdr:col>2</xdr:col>
      <xdr:colOff>469900</xdr:colOff>
      <xdr:row>43</xdr:row>
      <xdr:rowOff>63500</xdr:rowOff>
    </xdr:to>
    <xdr:sp macro="" textlink="">
      <xdr:nvSpPr>
        <xdr:cNvPr id="14" name="Line 58">
          <a:extLst>
            <a:ext uri="{FF2B5EF4-FFF2-40B4-BE49-F238E27FC236}">
              <a16:creationId xmlns:a16="http://schemas.microsoft.com/office/drawing/2014/main" id="{3E0BCCA6-F768-4288-9CD7-2934CE4E97D3}"/>
            </a:ext>
          </a:extLst>
        </xdr:cNvPr>
        <xdr:cNvSpPr>
          <a:spLocks noChangeShapeType="1"/>
        </xdr:cNvSpPr>
      </xdr:nvSpPr>
      <xdr:spPr bwMode="auto">
        <a:xfrm flipV="1">
          <a:off x="3641725" y="13065125"/>
          <a:ext cx="0" cy="409575"/>
        </a:xfrm>
        <a:prstGeom prst="line">
          <a:avLst/>
        </a:prstGeom>
        <a:noFill/>
        <a:ln w="19050">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0</xdr:col>
      <xdr:colOff>117475</xdr:colOff>
      <xdr:row>19</xdr:row>
      <xdr:rowOff>139700</xdr:rowOff>
    </xdr:from>
    <xdr:ext cx="2133983" cy="484748"/>
    <xdr:sp macro="" textlink="">
      <xdr:nvSpPr>
        <xdr:cNvPr id="15" name="Text Box 59">
          <a:extLst>
            <a:ext uri="{FF2B5EF4-FFF2-40B4-BE49-F238E27FC236}">
              <a16:creationId xmlns:a16="http://schemas.microsoft.com/office/drawing/2014/main" id="{933B8C55-0EEC-4872-B811-2F1940FEDE00}"/>
            </a:ext>
          </a:extLst>
        </xdr:cNvPr>
        <xdr:cNvSpPr txBox="1">
          <a:spLocks noChangeArrowheads="1"/>
        </xdr:cNvSpPr>
      </xdr:nvSpPr>
      <xdr:spPr bwMode="auto">
        <a:xfrm>
          <a:off x="117475" y="9550400"/>
          <a:ext cx="2133983" cy="484748"/>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2) </a:t>
          </a:r>
          <a:r>
            <a:rPr lang="en-US" sz="1000" b="0" i="0" strike="noStrike">
              <a:solidFill>
                <a:srgbClr val="000000"/>
              </a:solidFill>
              <a:latin typeface="Arial"/>
              <a:cs typeface="Arial"/>
            </a:rPr>
            <a:t>Choose Case No. and Enter Here.</a:t>
          </a:r>
        </a:p>
        <a:p>
          <a:pPr algn="l" rtl="0">
            <a:defRPr sz="1000"/>
          </a:pPr>
          <a:r>
            <a:rPr lang="en-US" sz="1000" b="0" i="0" strike="noStrike">
              <a:solidFill>
                <a:srgbClr val="000000"/>
              </a:solidFill>
              <a:latin typeface="Arial"/>
              <a:cs typeface="Arial"/>
            </a:rPr>
            <a:t>Proceed to "Uplink &amp; Downlink </a:t>
          </a:r>
        </a:p>
        <a:p>
          <a:pPr algn="l" rtl="0">
            <a:defRPr sz="1000"/>
          </a:pPr>
          <a:r>
            <a:rPr lang="en-US" sz="1000" b="0" i="0" strike="noStrike">
              <a:solidFill>
                <a:srgbClr val="000000"/>
              </a:solidFill>
              <a:latin typeface="Arial"/>
              <a:cs typeface="Arial"/>
            </a:rPr>
            <a:t>Choices" Below.</a:t>
          </a:r>
        </a:p>
      </xdr:txBody>
    </xdr:sp>
    <xdr:clientData/>
  </xdr:oneCellAnchor>
  <xdr:twoCellAnchor>
    <xdr:from>
      <xdr:col>0</xdr:col>
      <xdr:colOff>76200</xdr:colOff>
      <xdr:row>19</xdr:row>
      <xdr:rowOff>101600</xdr:rowOff>
    </xdr:from>
    <xdr:to>
      <xdr:col>1</xdr:col>
      <xdr:colOff>571500</xdr:colOff>
      <xdr:row>23</xdr:row>
      <xdr:rowOff>12700</xdr:rowOff>
    </xdr:to>
    <xdr:sp macro="" textlink="">
      <xdr:nvSpPr>
        <xdr:cNvPr id="16" name="Rectangle 60">
          <a:extLst>
            <a:ext uri="{FF2B5EF4-FFF2-40B4-BE49-F238E27FC236}">
              <a16:creationId xmlns:a16="http://schemas.microsoft.com/office/drawing/2014/main" id="{0492DC7D-1C42-4356-AD61-26D4E1EA785F}"/>
            </a:ext>
          </a:extLst>
        </xdr:cNvPr>
        <xdr:cNvSpPr>
          <a:spLocks noChangeArrowheads="1"/>
        </xdr:cNvSpPr>
      </xdr:nvSpPr>
      <xdr:spPr bwMode="auto">
        <a:xfrm>
          <a:off x="76200" y="9512300"/>
          <a:ext cx="2381250" cy="558800"/>
        </a:xfrm>
        <a:prstGeom prst="rect">
          <a:avLst/>
        </a:prstGeom>
        <a:noFill/>
        <a:ln w="19050">
          <a:solidFill>
            <a:srgbClr val="000000"/>
          </a:solidFill>
          <a:miter lim="800000"/>
          <a:headEnd/>
          <a:tailEnd/>
        </a:ln>
        <a:extLst>
          <a:ext uri="{909E8E84-426E-40dd-AFC4-6F175D3DCCD1}">
            <a14:hiddenFill xmlns="" xmlns:a14="http://schemas.microsoft.com/office/drawing/2010/main">
              <a:solidFill>
                <a:srgbClr val="FFFFFF"/>
              </a:solidFill>
            </a14:hiddenFill>
          </a:ext>
        </a:extLst>
      </xdr:spPr>
      <xdr:txBody>
        <a:bodyPr rtlCol="0"/>
        <a:lstStyle/>
        <a:p>
          <a:pPr algn="ctr"/>
          <a:endParaRPr lang="en-US"/>
        </a:p>
      </xdr:txBody>
    </xdr:sp>
    <xdr:clientData/>
  </xdr:twoCellAnchor>
  <xdr:twoCellAnchor>
    <xdr:from>
      <xdr:col>1</xdr:col>
      <xdr:colOff>381000</xdr:colOff>
      <xdr:row>23</xdr:row>
      <xdr:rowOff>25400</xdr:rowOff>
    </xdr:from>
    <xdr:to>
      <xdr:col>1</xdr:col>
      <xdr:colOff>381000</xdr:colOff>
      <xdr:row>25</xdr:row>
      <xdr:rowOff>0</xdr:rowOff>
    </xdr:to>
    <xdr:sp macro="" textlink="">
      <xdr:nvSpPr>
        <xdr:cNvPr id="17" name="Line 61">
          <a:extLst>
            <a:ext uri="{FF2B5EF4-FFF2-40B4-BE49-F238E27FC236}">
              <a16:creationId xmlns:a16="http://schemas.microsoft.com/office/drawing/2014/main" id="{DA88719D-B8FD-48E7-83D2-66B2295C4C1A}"/>
            </a:ext>
          </a:extLst>
        </xdr:cNvPr>
        <xdr:cNvSpPr>
          <a:spLocks noChangeShapeType="1"/>
        </xdr:cNvSpPr>
      </xdr:nvSpPr>
      <xdr:spPr bwMode="auto">
        <a:xfrm flipH="1">
          <a:off x="2266950" y="10083800"/>
          <a:ext cx="0" cy="317500"/>
        </a:xfrm>
        <a:prstGeom prst="line">
          <a:avLst/>
        </a:prstGeom>
        <a:noFill/>
        <a:ln w="19050">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0</xdr:col>
      <xdr:colOff>177800</xdr:colOff>
      <xdr:row>16</xdr:row>
      <xdr:rowOff>76200</xdr:rowOff>
    </xdr:from>
    <xdr:ext cx="1930248" cy="330860"/>
    <xdr:sp macro="" textlink="">
      <xdr:nvSpPr>
        <xdr:cNvPr id="18" name="Text Box 62">
          <a:extLst>
            <a:ext uri="{FF2B5EF4-FFF2-40B4-BE49-F238E27FC236}">
              <a16:creationId xmlns:a16="http://schemas.microsoft.com/office/drawing/2014/main" id="{BB205FE0-389F-4C37-988D-C4219CF576ED}"/>
            </a:ext>
          </a:extLst>
        </xdr:cNvPr>
        <xdr:cNvSpPr txBox="1">
          <a:spLocks noChangeArrowheads="1"/>
        </xdr:cNvSpPr>
      </xdr:nvSpPr>
      <xdr:spPr bwMode="auto">
        <a:xfrm>
          <a:off x="177800" y="9001125"/>
          <a:ext cx="1930248" cy="3308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ea typeface="Arial"/>
              <a:cs typeface="Arial"/>
            </a:rPr>
            <a:t>1)</a:t>
          </a:r>
          <a:r>
            <a:rPr lang="en-US" sz="1000" b="0" i="0" u="none" strike="noStrike" baseline="0">
              <a:solidFill>
                <a:srgbClr val="000000"/>
              </a:solidFill>
              <a:latin typeface="Arial"/>
              <a:ea typeface="Arial"/>
              <a:cs typeface="Arial"/>
            </a:rPr>
            <a:t> To Change Orbit Keplarians</a:t>
          </a:r>
        </a:p>
        <a:p>
          <a:pPr algn="l" rtl="0">
            <a:defRPr sz="1000"/>
          </a:pPr>
          <a:r>
            <a:rPr lang="en-US" sz="1000" b="0" i="0" u="none" strike="noStrike" baseline="0">
              <a:solidFill>
                <a:srgbClr val="000000"/>
              </a:solidFill>
              <a:latin typeface="Arial"/>
              <a:ea typeface="Arial"/>
              <a:cs typeface="Arial"/>
            </a:rPr>
            <a:t>Modify </a:t>
          </a:r>
          <a:r>
            <a:rPr lang="en-US" sz="1000" b="1" i="0" u="none" strike="noStrike" baseline="0">
              <a:solidFill>
                <a:srgbClr val="000000"/>
              </a:solidFill>
              <a:latin typeface="Arial"/>
              <a:ea typeface="Arial"/>
              <a:cs typeface="Arial"/>
            </a:rPr>
            <a:t>ONLY</a:t>
          </a:r>
          <a:r>
            <a:rPr lang="en-US" sz="1000" b="0" i="0" u="none" strike="noStrike" baseline="0">
              <a:solidFill>
                <a:srgbClr val="000000"/>
              </a:solidFill>
              <a:latin typeface="Arial"/>
              <a:ea typeface="Arial"/>
              <a:cs typeface="Arial"/>
            </a:rPr>
            <a:t> </a:t>
          </a:r>
          <a:r>
            <a:rPr lang="en-US" sz="1000" b="0" i="0" u="none" strike="noStrike" baseline="0">
              <a:solidFill>
                <a:srgbClr val="0000FF"/>
              </a:solidFill>
              <a:latin typeface="Arial"/>
              <a:ea typeface="Arial"/>
              <a:cs typeface="Arial"/>
            </a:rPr>
            <a:t>Blue</a:t>
          </a:r>
          <a:r>
            <a:rPr lang="en-US" sz="1000" b="0" i="0" u="none" strike="noStrike" baseline="0">
              <a:solidFill>
                <a:srgbClr val="000000"/>
              </a:solidFill>
              <a:latin typeface="Arial"/>
              <a:ea typeface="Arial"/>
              <a:cs typeface="Arial"/>
            </a:rPr>
            <a:t> Values Above.</a:t>
          </a:r>
        </a:p>
      </xdr:txBody>
    </xdr:sp>
    <xdr:clientData/>
  </xdr:oneCellAnchor>
  <xdr:twoCellAnchor>
    <xdr:from>
      <xdr:col>0</xdr:col>
      <xdr:colOff>127000</xdr:colOff>
      <xdr:row>16</xdr:row>
      <xdr:rowOff>50800</xdr:rowOff>
    </xdr:from>
    <xdr:to>
      <xdr:col>1</xdr:col>
      <xdr:colOff>508000</xdr:colOff>
      <xdr:row>18</xdr:row>
      <xdr:rowOff>127000</xdr:rowOff>
    </xdr:to>
    <xdr:sp macro="" textlink="">
      <xdr:nvSpPr>
        <xdr:cNvPr id="19" name="Rectangle 63">
          <a:extLst>
            <a:ext uri="{FF2B5EF4-FFF2-40B4-BE49-F238E27FC236}">
              <a16:creationId xmlns:a16="http://schemas.microsoft.com/office/drawing/2014/main" id="{1EE31074-C2A7-4A5C-9A26-22B25CA9211B}"/>
            </a:ext>
          </a:extLst>
        </xdr:cNvPr>
        <xdr:cNvSpPr>
          <a:spLocks noChangeArrowheads="1"/>
        </xdr:cNvSpPr>
      </xdr:nvSpPr>
      <xdr:spPr bwMode="auto">
        <a:xfrm>
          <a:off x="127000" y="8975725"/>
          <a:ext cx="2266950" cy="400050"/>
        </a:xfrm>
        <a:prstGeom prst="rect">
          <a:avLst/>
        </a:prstGeom>
        <a:noFill/>
        <a:ln w="19050">
          <a:solidFill>
            <a:srgbClr val="000000"/>
          </a:solidFill>
          <a:miter lim="800000"/>
          <a:headEnd/>
          <a:tailEnd/>
        </a:ln>
        <a:extLst>
          <a:ext uri="{909E8E84-426E-40dd-AFC4-6F175D3DCCD1}">
            <a14:hiddenFill xmlns="" xmlns:a14="http://schemas.microsoft.com/office/drawing/2010/main">
              <a:solidFill>
                <a:srgbClr val="FFFFFF"/>
              </a:solidFill>
            </a14:hiddenFill>
          </a:ext>
        </a:extLst>
      </xdr:spPr>
      <xdr:txBody>
        <a:bodyPr rtlCol="0"/>
        <a:lstStyle/>
        <a:p>
          <a:pPr algn="ctr"/>
          <a:endParaRPr lang="en-US"/>
        </a:p>
      </xdr:txBody>
    </xdr:sp>
    <xdr:clientData/>
  </xdr:twoCellAnchor>
  <xdr:twoCellAnchor>
    <xdr:from>
      <xdr:col>7</xdr:col>
      <xdr:colOff>342900</xdr:colOff>
      <xdr:row>40</xdr:row>
      <xdr:rowOff>76200</xdr:rowOff>
    </xdr:from>
    <xdr:to>
      <xdr:col>7</xdr:col>
      <xdr:colOff>622300</xdr:colOff>
      <xdr:row>40</xdr:row>
      <xdr:rowOff>76200</xdr:rowOff>
    </xdr:to>
    <xdr:sp macro="" textlink="">
      <xdr:nvSpPr>
        <xdr:cNvPr id="20" name="Line 64">
          <a:extLst>
            <a:ext uri="{FF2B5EF4-FFF2-40B4-BE49-F238E27FC236}">
              <a16:creationId xmlns:a16="http://schemas.microsoft.com/office/drawing/2014/main" id="{770C6BAA-F513-4D96-AC37-9CABDCBCBB77}"/>
            </a:ext>
          </a:extLst>
        </xdr:cNvPr>
        <xdr:cNvSpPr>
          <a:spLocks noChangeShapeType="1"/>
        </xdr:cNvSpPr>
      </xdr:nvSpPr>
      <xdr:spPr bwMode="auto">
        <a:xfrm flipH="1">
          <a:off x="7048500" y="13001625"/>
          <a:ext cx="250825" cy="0"/>
        </a:xfrm>
        <a:prstGeom prst="line">
          <a:avLst/>
        </a:prstGeom>
        <a:noFill/>
        <a:ln w="19050">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9</xdr:col>
      <xdr:colOff>433460</xdr:colOff>
      <xdr:row>5</xdr:row>
      <xdr:rowOff>21981</xdr:rowOff>
    </xdr:from>
    <xdr:to>
      <xdr:col>9</xdr:col>
      <xdr:colOff>479179</xdr:colOff>
      <xdr:row>6</xdr:row>
      <xdr:rowOff>123581</xdr:rowOff>
    </xdr:to>
    <xdr:sp macro="" textlink="">
      <xdr:nvSpPr>
        <xdr:cNvPr id="21" name="AutoShape 65">
          <a:extLst>
            <a:ext uri="{FF2B5EF4-FFF2-40B4-BE49-F238E27FC236}">
              <a16:creationId xmlns:a16="http://schemas.microsoft.com/office/drawing/2014/main" id="{BA36CAD9-00EE-46DA-89E5-4BE03EEF066A}"/>
            </a:ext>
          </a:extLst>
        </xdr:cNvPr>
        <xdr:cNvSpPr>
          <a:spLocks noChangeArrowheads="1"/>
        </xdr:cNvSpPr>
      </xdr:nvSpPr>
      <xdr:spPr bwMode="auto">
        <a:xfrm>
          <a:off x="8361191" y="915866"/>
          <a:ext cx="45719" cy="262792"/>
        </a:xfrm>
        <a:prstGeom prst="curvedRightArrow">
          <a:avLst>
            <a:gd name="adj1" fmla="val 2878"/>
            <a:gd name="adj2" fmla="val 97143"/>
            <a:gd name="adj3" fmla="val 37500"/>
          </a:avLst>
        </a:prstGeom>
        <a:solidFill>
          <a:srgbClr val="FFFFFF"/>
        </a:solidFill>
        <a:ln w="9525">
          <a:solidFill>
            <a:srgbClr val="000000"/>
          </a:solidFill>
          <a:miter lim="800000"/>
          <a:headEnd/>
          <a:tailEnd/>
        </a:ln>
      </xdr:spPr>
      <xdr:txBody>
        <a:bodyPr rtlCol="0"/>
        <a:lstStyle/>
        <a:p>
          <a:pPr algn="ctr"/>
          <a:endParaRPr lang="en-US"/>
        </a:p>
      </xdr:txBody>
    </xdr:sp>
    <xdr:clientData/>
  </xdr:twoCellAnchor>
  <xdr:twoCellAnchor>
    <xdr:from>
      <xdr:col>6</xdr:col>
      <xdr:colOff>139700</xdr:colOff>
      <xdr:row>10</xdr:row>
      <xdr:rowOff>76200</xdr:rowOff>
    </xdr:from>
    <xdr:to>
      <xdr:col>6</xdr:col>
      <xdr:colOff>228600</xdr:colOff>
      <xdr:row>11</xdr:row>
      <xdr:rowOff>139700</xdr:rowOff>
    </xdr:to>
    <xdr:sp macro="" textlink="">
      <xdr:nvSpPr>
        <xdr:cNvPr id="22" name="AutoShape 66">
          <a:extLst>
            <a:ext uri="{FF2B5EF4-FFF2-40B4-BE49-F238E27FC236}">
              <a16:creationId xmlns:a16="http://schemas.microsoft.com/office/drawing/2014/main" id="{443FC4F6-9AEB-402B-B3E0-6B02492630DD}"/>
            </a:ext>
          </a:extLst>
        </xdr:cNvPr>
        <xdr:cNvSpPr>
          <a:spLocks noChangeArrowheads="1"/>
        </xdr:cNvSpPr>
      </xdr:nvSpPr>
      <xdr:spPr bwMode="auto">
        <a:xfrm rot="10578723">
          <a:off x="6121400" y="8029575"/>
          <a:ext cx="88900" cy="225425"/>
        </a:xfrm>
        <a:prstGeom prst="curvedRightArrow">
          <a:avLst>
            <a:gd name="adj1" fmla="val 2878"/>
            <a:gd name="adj2" fmla="val 97143"/>
            <a:gd name="adj3" fmla="val 37500"/>
          </a:avLst>
        </a:prstGeom>
        <a:solidFill>
          <a:srgbClr val="FFFFFF"/>
        </a:solidFill>
        <a:ln w="9525">
          <a:solidFill>
            <a:srgbClr val="000000"/>
          </a:solidFill>
          <a:miter lim="800000"/>
          <a:headEnd/>
          <a:tailEnd/>
        </a:ln>
      </xdr:spPr>
      <xdr:txBody>
        <a:bodyPr rtlCol="0"/>
        <a:lstStyle/>
        <a:p>
          <a:pPr algn="ctr"/>
          <a:endParaRPr lang="en-US"/>
        </a:p>
      </xdr:txBody>
    </xdr:sp>
    <xdr:clientData/>
  </xdr:twoCellAnchor>
  <xdr:twoCellAnchor>
    <xdr:from>
      <xdr:col>7</xdr:col>
      <xdr:colOff>396826</xdr:colOff>
      <xdr:row>9</xdr:row>
      <xdr:rowOff>35658</xdr:rowOff>
    </xdr:from>
    <xdr:to>
      <xdr:col>7</xdr:col>
      <xdr:colOff>442545</xdr:colOff>
      <xdr:row>10</xdr:row>
      <xdr:rowOff>14166</xdr:rowOff>
    </xdr:to>
    <xdr:sp macro="" textlink="">
      <xdr:nvSpPr>
        <xdr:cNvPr id="23" name="AutoShape 67">
          <a:extLst>
            <a:ext uri="{FF2B5EF4-FFF2-40B4-BE49-F238E27FC236}">
              <a16:creationId xmlns:a16="http://schemas.microsoft.com/office/drawing/2014/main" id="{5BE00A33-31F3-46C2-B514-8869C48EFBE5}"/>
            </a:ext>
          </a:extLst>
        </xdr:cNvPr>
        <xdr:cNvSpPr>
          <a:spLocks noChangeArrowheads="1"/>
        </xdr:cNvSpPr>
      </xdr:nvSpPr>
      <xdr:spPr bwMode="auto">
        <a:xfrm rot="20703906">
          <a:off x="7042345" y="1574312"/>
          <a:ext cx="45719" cy="139700"/>
        </a:xfrm>
        <a:prstGeom prst="curvedRightArrow">
          <a:avLst>
            <a:gd name="adj1" fmla="val 847"/>
            <a:gd name="adj2" fmla="val 56296"/>
            <a:gd name="adj3" fmla="val 12500"/>
          </a:avLst>
        </a:prstGeom>
        <a:solidFill>
          <a:srgbClr val="FFFFFF"/>
        </a:solidFill>
        <a:ln w="9525">
          <a:solidFill>
            <a:srgbClr val="000000"/>
          </a:solidFill>
          <a:miter lim="800000"/>
          <a:headEnd/>
          <a:tailEnd/>
        </a:ln>
      </xdr:spPr>
      <xdr:txBody>
        <a:bodyPr rtlCol="0"/>
        <a:lstStyle/>
        <a:p>
          <a:pPr algn="ctr"/>
          <a:endParaRPr lang="en-US"/>
        </a:p>
      </xdr:txBody>
    </xdr:sp>
    <xdr:clientData/>
  </xdr:twoCellAnchor>
  <xdr:oneCellAnchor>
    <xdr:from>
      <xdr:col>9</xdr:col>
      <xdr:colOff>488950</xdr:colOff>
      <xdr:row>4</xdr:row>
      <xdr:rowOff>149225</xdr:rowOff>
    </xdr:from>
    <xdr:ext cx="99368" cy="176972"/>
    <xdr:sp macro="" textlink="">
      <xdr:nvSpPr>
        <xdr:cNvPr id="24" name="Text Box 68">
          <a:extLst>
            <a:ext uri="{FF2B5EF4-FFF2-40B4-BE49-F238E27FC236}">
              <a16:creationId xmlns:a16="http://schemas.microsoft.com/office/drawing/2014/main" id="{25CF768A-103A-46C0-AC8F-B1956884AD51}"/>
            </a:ext>
          </a:extLst>
        </xdr:cNvPr>
        <xdr:cNvSpPr txBox="1">
          <a:spLocks noChangeArrowheads="1"/>
        </xdr:cNvSpPr>
      </xdr:nvSpPr>
      <xdr:spPr bwMode="auto">
        <a:xfrm>
          <a:off x="8407400" y="892175"/>
          <a:ext cx="99368"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u="none" strike="noStrike" baseline="0">
              <a:solidFill>
                <a:srgbClr val="0000FF"/>
              </a:solidFill>
              <a:latin typeface="Symbol"/>
              <a:ea typeface="Symbol"/>
              <a:cs typeface="Symbol"/>
            </a:rPr>
            <a:t>a</a:t>
          </a:r>
        </a:p>
      </xdr:txBody>
    </xdr:sp>
    <xdr:clientData/>
  </xdr:oneCellAnchor>
  <xdr:oneCellAnchor>
    <xdr:from>
      <xdr:col>5</xdr:col>
      <xdr:colOff>625475</xdr:colOff>
      <xdr:row>10</xdr:row>
      <xdr:rowOff>139700</xdr:rowOff>
    </xdr:from>
    <xdr:ext cx="88848" cy="176972"/>
    <xdr:sp macro="" textlink="">
      <xdr:nvSpPr>
        <xdr:cNvPr id="25" name="Text Box 69">
          <a:extLst>
            <a:ext uri="{FF2B5EF4-FFF2-40B4-BE49-F238E27FC236}">
              <a16:creationId xmlns:a16="http://schemas.microsoft.com/office/drawing/2014/main" id="{6602776A-1F67-4850-958C-07E0E19E364B}"/>
            </a:ext>
          </a:extLst>
        </xdr:cNvPr>
        <xdr:cNvSpPr txBox="1">
          <a:spLocks noChangeArrowheads="1"/>
        </xdr:cNvSpPr>
      </xdr:nvSpPr>
      <xdr:spPr bwMode="auto">
        <a:xfrm>
          <a:off x="5978525" y="8093075"/>
          <a:ext cx="88848"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u="none" strike="noStrike" baseline="0">
              <a:solidFill>
                <a:srgbClr val="0000FF"/>
              </a:solidFill>
              <a:latin typeface="Symbol"/>
              <a:ea typeface="Symbol"/>
              <a:cs typeface="Symbol"/>
            </a:rPr>
            <a:t>b</a:t>
          </a:r>
        </a:p>
      </xdr:txBody>
    </xdr:sp>
    <xdr:clientData/>
  </xdr:oneCellAnchor>
  <xdr:twoCellAnchor>
    <xdr:from>
      <xdr:col>4</xdr:col>
      <xdr:colOff>571500</xdr:colOff>
      <xdr:row>5</xdr:row>
      <xdr:rowOff>88900</xdr:rowOff>
    </xdr:from>
    <xdr:to>
      <xdr:col>10</xdr:col>
      <xdr:colOff>279400</xdr:colOff>
      <xdr:row>10</xdr:row>
      <xdr:rowOff>12700</xdr:rowOff>
    </xdr:to>
    <xdr:sp macro="" textlink="">
      <xdr:nvSpPr>
        <xdr:cNvPr id="26" name="Line 70">
          <a:extLst>
            <a:ext uri="{FF2B5EF4-FFF2-40B4-BE49-F238E27FC236}">
              <a16:creationId xmlns:a16="http://schemas.microsoft.com/office/drawing/2014/main" id="{4F3B3121-320A-4286-9B53-F44365017A22}"/>
            </a:ext>
          </a:extLst>
        </xdr:cNvPr>
        <xdr:cNvSpPr>
          <a:spLocks noChangeShapeType="1"/>
        </xdr:cNvSpPr>
      </xdr:nvSpPr>
      <xdr:spPr bwMode="auto">
        <a:xfrm flipH="1">
          <a:off x="5403850" y="996950"/>
          <a:ext cx="3517900" cy="749300"/>
        </a:xfrm>
        <a:prstGeom prst="line">
          <a:avLst/>
        </a:prstGeom>
        <a:noFill/>
        <a:ln w="9525">
          <a:solidFill>
            <a:srgbClr val="FF0000"/>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6</xdr:col>
      <xdr:colOff>600056</xdr:colOff>
      <xdr:row>8</xdr:row>
      <xdr:rowOff>95636</xdr:rowOff>
    </xdr:from>
    <xdr:to>
      <xdr:col>7</xdr:col>
      <xdr:colOff>36175</xdr:colOff>
      <xdr:row>11</xdr:row>
      <xdr:rowOff>10115</xdr:rowOff>
    </xdr:to>
    <xdr:sp macro="" textlink="">
      <xdr:nvSpPr>
        <xdr:cNvPr id="27" name="AutoShape 71">
          <a:extLst>
            <a:ext uri="{FF2B5EF4-FFF2-40B4-BE49-F238E27FC236}">
              <a16:creationId xmlns:a16="http://schemas.microsoft.com/office/drawing/2014/main" id="{BFA881F4-A41D-43E0-878E-935A81BF49E2}"/>
            </a:ext>
          </a:extLst>
        </xdr:cNvPr>
        <xdr:cNvSpPr>
          <a:spLocks noChangeArrowheads="1"/>
        </xdr:cNvSpPr>
      </xdr:nvSpPr>
      <xdr:spPr bwMode="auto">
        <a:xfrm rot="-993328">
          <a:off x="6637441" y="1473098"/>
          <a:ext cx="44253" cy="398055"/>
        </a:xfrm>
        <a:prstGeom prst="curvedRightArrow">
          <a:avLst>
            <a:gd name="adj1" fmla="val 2121"/>
            <a:gd name="adj2" fmla="val 71579"/>
            <a:gd name="adj3" fmla="val 37500"/>
          </a:avLst>
        </a:prstGeom>
        <a:solidFill>
          <a:srgbClr val="FFFFFF"/>
        </a:solidFill>
        <a:ln w="9525">
          <a:solidFill>
            <a:srgbClr val="000000"/>
          </a:solidFill>
          <a:miter lim="800000"/>
          <a:headEnd/>
          <a:tailEnd/>
        </a:ln>
      </xdr:spPr>
      <xdr:txBody>
        <a:bodyPr rtlCol="0"/>
        <a:lstStyle/>
        <a:p>
          <a:pPr algn="ctr"/>
          <a:endParaRPr lang="en-US"/>
        </a:p>
      </xdr:txBody>
    </xdr:sp>
    <xdr:clientData/>
  </xdr:twoCellAnchor>
  <xdr:oneCellAnchor>
    <xdr:from>
      <xdr:col>6</xdr:col>
      <xdr:colOff>638175</xdr:colOff>
      <xdr:row>8</xdr:row>
      <xdr:rowOff>73025</xdr:rowOff>
    </xdr:from>
    <xdr:ext cx="71190" cy="176972"/>
    <xdr:sp macro="" textlink="">
      <xdr:nvSpPr>
        <xdr:cNvPr id="28" name="Text Box 72">
          <a:extLst>
            <a:ext uri="{FF2B5EF4-FFF2-40B4-BE49-F238E27FC236}">
              <a16:creationId xmlns:a16="http://schemas.microsoft.com/office/drawing/2014/main" id="{BDB4553B-39F4-4EFE-9595-2460C9C45AA6}"/>
            </a:ext>
          </a:extLst>
        </xdr:cNvPr>
        <xdr:cNvSpPr txBox="1">
          <a:spLocks noChangeArrowheads="1"/>
        </xdr:cNvSpPr>
      </xdr:nvSpPr>
      <xdr:spPr bwMode="auto">
        <a:xfrm>
          <a:off x="6619875" y="7702550"/>
          <a:ext cx="71190"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u="none" strike="noStrike" baseline="0">
              <a:solidFill>
                <a:srgbClr val="0000FF"/>
              </a:solidFill>
              <a:latin typeface="Symbol"/>
              <a:ea typeface="Symbol"/>
              <a:cs typeface="Symbol"/>
            </a:rPr>
            <a:t>g</a:t>
          </a:r>
        </a:p>
      </xdr:txBody>
    </xdr:sp>
    <xdr:clientData/>
  </xdr:oneCellAnchor>
  <xdr:oneCellAnchor>
    <xdr:from>
      <xdr:col>7</xdr:col>
      <xdr:colOff>457200</xdr:colOff>
      <xdr:row>8</xdr:row>
      <xdr:rowOff>120162</xdr:rowOff>
    </xdr:from>
    <xdr:ext cx="163891" cy="180178"/>
    <xdr:sp macro="" textlink="">
      <xdr:nvSpPr>
        <xdr:cNvPr id="29" name="Text Box 73">
          <a:extLst>
            <a:ext uri="{FF2B5EF4-FFF2-40B4-BE49-F238E27FC236}">
              <a16:creationId xmlns:a16="http://schemas.microsoft.com/office/drawing/2014/main" id="{7297B54E-AA80-4CBE-A450-263030F06118}"/>
            </a:ext>
          </a:extLst>
        </xdr:cNvPr>
        <xdr:cNvSpPr txBox="1">
          <a:spLocks noChangeArrowheads="1"/>
        </xdr:cNvSpPr>
      </xdr:nvSpPr>
      <xdr:spPr bwMode="auto">
        <a:xfrm>
          <a:off x="7102719" y="1497624"/>
          <a:ext cx="163891" cy="180178"/>
        </a:xfrm>
        <a:prstGeom prst="rect">
          <a:avLst/>
        </a:prstGeom>
        <a:noFill/>
        <a:ln w="9525">
          <a:noFill/>
          <a:miter lim="800000"/>
          <a:headEnd/>
          <a:tailEnd/>
        </a:ln>
      </xdr:spPr>
      <xdr:txBody>
        <a:bodyPr wrap="none" lIns="18288" tIns="22860" rIns="0" bIns="0" anchor="t" upright="1">
          <a:spAutoFit/>
        </a:bodyPr>
        <a:lstStyle/>
        <a:p>
          <a:pPr algn="l" rtl="0">
            <a:defRPr sz="1000"/>
          </a:pPr>
          <a:r>
            <a:rPr lang="bg-BG" sz="1000" b="0" i="0" u="none" strike="noStrike" baseline="0">
              <a:solidFill>
                <a:srgbClr val="0000FF"/>
              </a:solidFill>
              <a:latin typeface="Symbol"/>
              <a:ea typeface="Symbol"/>
              <a:cs typeface="Symbol"/>
            </a:rPr>
            <a:t>g/</a:t>
          </a:r>
          <a:r>
            <a:rPr lang="bg-BG" sz="800" b="0" i="0" u="none" strike="noStrike" baseline="0">
              <a:solidFill>
                <a:srgbClr val="0000FF"/>
              </a:solidFill>
              <a:latin typeface="Arial"/>
              <a:ea typeface="Arial"/>
              <a:cs typeface="Arial"/>
            </a:rPr>
            <a:t>2</a:t>
          </a:r>
        </a:p>
      </xdr:txBody>
    </xdr:sp>
    <xdr:clientData/>
  </xdr:oneCellAnchor>
  <xdr:oneCellAnchor>
    <xdr:from>
      <xdr:col>3</xdr:col>
      <xdr:colOff>79375</xdr:colOff>
      <xdr:row>18</xdr:row>
      <xdr:rowOff>139700</xdr:rowOff>
    </xdr:from>
    <xdr:ext cx="1340260" cy="176972"/>
    <xdr:sp macro="" textlink="">
      <xdr:nvSpPr>
        <xdr:cNvPr id="30" name="Text Box 74">
          <a:extLst>
            <a:ext uri="{FF2B5EF4-FFF2-40B4-BE49-F238E27FC236}">
              <a16:creationId xmlns:a16="http://schemas.microsoft.com/office/drawing/2014/main" id="{62B810FD-4F2B-488A-991B-977B010F41CF}"/>
            </a:ext>
          </a:extLst>
        </xdr:cNvPr>
        <xdr:cNvSpPr txBox="1">
          <a:spLocks noChangeArrowheads="1"/>
        </xdr:cNvSpPr>
      </xdr:nvSpPr>
      <xdr:spPr bwMode="auto">
        <a:xfrm>
          <a:off x="4098925" y="9388475"/>
          <a:ext cx="1340260"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Symbol"/>
            </a:rPr>
            <a:t>a = </a:t>
          </a:r>
          <a:r>
            <a:rPr lang="en-US" sz="1000" b="0" i="0" strike="noStrike">
              <a:solidFill>
                <a:srgbClr val="000000"/>
              </a:solidFill>
              <a:latin typeface="Arial"/>
              <a:cs typeface="Arial"/>
            </a:rPr>
            <a:t>S/C Off-Point Angle</a:t>
          </a:r>
        </a:p>
      </xdr:txBody>
    </xdr:sp>
    <xdr:clientData/>
  </xdr:oneCellAnchor>
  <xdr:oneCellAnchor>
    <xdr:from>
      <xdr:col>3</xdr:col>
      <xdr:colOff>38100</xdr:colOff>
      <xdr:row>20</xdr:row>
      <xdr:rowOff>38100</xdr:rowOff>
    </xdr:from>
    <xdr:ext cx="2552165" cy="176972"/>
    <xdr:sp macro="" textlink="">
      <xdr:nvSpPr>
        <xdr:cNvPr id="31" name="Text Box 75">
          <a:extLst>
            <a:ext uri="{FF2B5EF4-FFF2-40B4-BE49-F238E27FC236}">
              <a16:creationId xmlns:a16="http://schemas.microsoft.com/office/drawing/2014/main" id="{3C2267C7-3A5B-45F3-B11C-0166E7DB8B03}"/>
            </a:ext>
          </a:extLst>
        </xdr:cNvPr>
        <xdr:cNvSpPr txBox="1">
          <a:spLocks noChangeArrowheads="1"/>
        </xdr:cNvSpPr>
      </xdr:nvSpPr>
      <xdr:spPr bwMode="auto">
        <a:xfrm>
          <a:off x="4057650" y="9610725"/>
          <a:ext cx="2552165"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Symbol"/>
            </a:rPr>
            <a:t>b = (180-M)</a:t>
          </a:r>
          <a:r>
            <a:rPr lang="en-US" sz="1000" b="0" i="0" strike="noStrike">
              <a:solidFill>
                <a:srgbClr val="000000"/>
              </a:solidFill>
              <a:latin typeface="Arial"/>
              <a:cs typeface="Arial"/>
            </a:rPr>
            <a:t> deg.= Angle from S/C to Apogee</a:t>
          </a:r>
        </a:p>
      </xdr:txBody>
    </xdr:sp>
    <xdr:clientData/>
  </xdr:oneCellAnchor>
  <xdr:oneCellAnchor>
    <xdr:from>
      <xdr:col>3</xdr:col>
      <xdr:colOff>38100</xdr:colOff>
      <xdr:row>21</xdr:row>
      <xdr:rowOff>76200</xdr:rowOff>
    </xdr:from>
    <xdr:ext cx="2107048" cy="176972"/>
    <xdr:sp macro="" textlink="">
      <xdr:nvSpPr>
        <xdr:cNvPr id="32" name="Text Box 76">
          <a:extLst>
            <a:ext uri="{FF2B5EF4-FFF2-40B4-BE49-F238E27FC236}">
              <a16:creationId xmlns:a16="http://schemas.microsoft.com/office/drawing/2014/main" id="{7A741FDC-E888-4C49-9791-4153DE84C2A2}"/>
            </a:ext>
          </a:extLst>
        </xdr:cNvPr>
        <xdr:cNvSpPr txBox="1">
          <a:spLocks noChangeArrowheads="1"/>
        </xdr:cNvSpPr>
      </xdr:nvSpPr>
      <xdr:spPr bwMode="auto">
        <a:xfrm>
          <a:off x="4057650" y="9810750"/>
          <a:ext cx="2107048"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Symbol"/>
            </a:rPr>
            <a:t>g = </a:t>
          </a:r>
          <a:r>
            <a:rPr lang="en-US" sz="1000" b="0" i="0" strike="noStrike">
              <a:solidFill>
                <a:srgbClr val="000000"/>
              </a:solidFill>
              <a:latin typeface="Arial"/>
              <a:cs typeface="Arial"/>
            </a:rPr>
            <a:t>Earth Diameter as seen from S/C</a:t>
          </a:r>
        </a:p>
      </xdr:txBody>
    </xdr:sp>
    <xdr:clientData/>
  </xdr:oneCellAnchor>
  <xdr:oneCellAnchor>
    <xdr:from>
      <xdr:col>3</xdr:col>
      <xdr:colOff>38100</xdr:colOff>
      <xdr:row>22</xdr:row>
      <xdr:rowOff>76200</xdr:rowOff>
    </xdr:from>
    <xdr:ext cx="1985589" cy="176972"/>
    <xdr:sp macro="" textlink="">
      <xdr:nvSpPr>
        <xdr:cNvPr id="33" name="Text Box 77">
          <a:extLst>
            <a:ext uri="{FF2B5EF4-FFF2-40B4-BE49-F238E27FC236}">
              <a16:creationId xmlns:a16="http://schemas.microsoft.com/office/drawing/2014/main" id="{73DCB043-4282-45BC-B93E-92A82F93D1E1}"/>
            </a:ext>
          </a:extLst>
        </xdr:cNvPr>
        <xdr:cNvSpPr txBox="1">
          <a:spLocks noChangeArrowheads="1"/>
        </xdr:cNvSpPr>
      </xdr:nvSpPr>
      <xdr:spPr bwMode="auto">
        <a:xfrm>
          <a:off x="4057650" y="9972675"/>
          <a:ext cx="1985589"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Symbol"/>
            </a:rPr>
            <a:t>a + g/2 =  </a:t>
          </a:r>
          <a:r>
            <a:rPr lang="en-US" sz="1000" b="0" i="0" strike="noStrike">
              <a:solidFill>
                <a:srgbClr val="000000"/>
              </a:solidFill>
              <a:latin typeface="Arial"/>
              <a:cs typeface="Arial"/>
            </a:rPr>
            <a:t>Worst Case Squint Angle</a:t>
          </a:r>
        </a:p>
      </xdr:txBody>
    </xdr:sp>
    <xdr:clientData/>
  </xdr:oneCellAnchor>
  <xdr:oneCellAnchor>
    <xdr:from>
      <xdr:col>4</xdr:col>
      <xdr:colOff>66675</xdr:colOff>
      <xdr:row>1</xdr:row>
      <xdr:rowOff>161925</xdr:rowOff>
    </xdr:from>
    <xdr:ext cx="1137563" cy="176972"/>
    <xdr:sp macro="" textlink="">
      <xdr:nvSpPr>
        <xdr:cNvPr id="34" name="Text Box 78">
          <a:extLst>
            <a:ext uri="{FF2B5EF4-FFF2-40B4-BE49-F238E27FC236}">
              <a16:creationId xmlns:a16="http://schemas.microsoft.com/office/drawing/2014/main" id="{F3D6DA7A-EC34-46FD-AB47-96F3C82BB8DD}"/>
            </a:ext>
          </a:extLst>
        </xdr:cNvPr>
        <xdr:cNvSpPr txBox="1">
          <a:spLocks noChangeArrowheads="1"/>
        </xdr:cNvSpPr>
      </xdr:nvSpPr>
      <xdr:spPr bwMode="auto">
        <a:xfrm>
          <a:off x="4899025" y="371475"/>
          <a:ext cx="1137563"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Arial"/>
              <a:cs typeface="Arial"/>
            </a:rPr>
            <a:t>S/C Pointing Vector</a:t>
          </a:r>
        </a:p>
      </xdr:txBody>
    </xdr:sp>
    <xdr:clientData/>
  </xdr:oneCellAnchor>
  <xdr:oneCellAnchor>
    <xdr:from>
      <xdr:col>3</xdr:col>
      <xdr:colOff>88900</xdr:colOff>
      <xdr:row>17</xdr:row>
      <xdr:rowOff>38100</xdr:rowOff>
    </xdr:from>
    <xdr:ext cx="304252" cy="176972"/>
    <xdr:sp macro="" textlink="">
      <xdr:nvSpPr>
        <xdr:cNvPr id="35" name="Text Box 79">
          <a:extLst>
            <a:ext uri="{FF2B5EF4-FFF2-40B4-BE49-F238E27FC236}">
              <a16:creationId xmlns:a16="http://schemas.microsoft.com/office/drawing/2014/main" id="{0DB44E40-5E76-43A4-982B-AE5D2F7885C7}"/>
            </a:ext>
          </a:extLst>
        </xdr:cNvPr>
        <xdr:cNvSpPr txBox="1">
          <a:spLocks noChangeArrowheads="1"/>
        </xdr:cNvSpPr>
      </xdr:nvSpPr>
      <xdr:spPr bwMode="auto">
        <a:xfrm>
          <a:off x="4108450" y="9124950"/>
          <a:ext cx="304252"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Symbol"/>
            </a:rPr>
            <a:t>a = b</a:t>
          </a:r>
        </a:p>
      </xdr:txBody>
    </xdr:sp>
    <xdr:clientData/>
  </xdr:oneCellAnchor>
  <xdr:twoCellAnchor>
    <xdr:from>
      <xdr:col>3</xdr:col>
      <xdr:colOff>850900</xdr:colOff>
      <xdr:row>11</xdr:row>
      <xdr:rowOff>127000</xdr:rowOff>
    </xdr:from>
    <xdr:to>
      <xdr:col>4</xdr:col>
      <xdr:colOff>38100</xdr:colOff>
      <xdr:row>12</xdr:row>
      <xdr:rowOff>44450</xdr:rowOff>
    </xdr:to>
    <xdr:sp macro="" textlink="">
      <xdr:nvSpPr>
        <xdr:cNvPr id="36" name="Oval 80">
          <a:extLst>
            <a:ext uri="{FF2B5EF4-FFF2-40B4-BE49-F238E27FC236}">
              <a16:creationId xmlns:a16="http://schemas.microsoft.com/office/drawing/2014/main" id="{C346EA82-9EF8-492C-BF98-8C45728B2C7D}"/>
            </a:ext>
          </a:extLst>
        </xdr:cNvPr>
        <xdr:cNvSpPr>
          <a:spLocks noChangeArrowheads="1"/>
        </xdr:cNvSpPr>
      </xdr:nvSpPr>
      <xdr:spPr bwMode="auto">
        <a:xfrm>
          <a:off x="4794250" y="2025650"/>
          <a:ext cx="76200" cy="8255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5</xdr:col>
      <xdr:colOff>0</xdr:colOff>
      <xdr:row>17</xdr:row>
      <xdr:rowOff>88900</xdr:rowOff>
    </xdr:from>
    <xdr:to>
      <xdr:col>5</xdr:col>
      <xdr:colOff>76200</xdr:colOff>
      <xdr:row>18</xdr:row>
      <xdr:rowOff>12700</xdr:rowOff>
    </xdr:to>
    <xdr:sp macro="" textlink="">
      <xdr:nvSpPr>
        <xdr:cNvPr id="38" name="Oval 82">
          <a:extLst>
            <a:ext uri="{FF2B5EF4-FFF2-40B4-BE49-F238E27FC236}">
              <a16:creationId xmlns:a16="http://schemas.microsoft.com/office/drawing/2014/main" id="{4AC210D4-9DFD-406E-8FE7-F71860A20DA6}"/>
            </a:ext>
          </a:extLst>
        </xdr:cNvPr>
        <xdr:cNvSpPr>
          <a:spLocks noChangeArrowheads="1"/>
        </xdr:cNvSpPr>
      </xdr:nvSpPr>
      <xdr:spPr bwMode="auto">
        <a:xfrm>
          <a:off x="5441950" y="2978150"/>
          <a:ext cx="76200" cy="8890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4</xdr:col>
      <xdr:colOff>107950</xdr:colOff>
      <xdr:row>14</xdr:row>
      <xdr:rowOff>101600</xdr:rowOff>
    </xdr:from>
    <xdr:to>
      <xdr:col>4</xdr:col>
      <xdr:colOff>196850</xdr:colOff>
      <xdr:row>15</xdr:row>
      <xdr:rowOff>38100</xdr:rowOff>
    </xdr:to>
    <xdr:sp macro="" textlink="">
      <xdr:nvSpPr>
        <xdr:cNvPr id="39" name="Oval 83">
          <a:extLst>
            <a:ext uri="{FF2B5EF4-FFF2-40B4-BE49-F238E27FC236}">
              <a16:creationId xmlns:a16="http://schemas.microsoft.com/office/drawing/2014/main" id="{71005EF6-C68F-4C5A-B4CF-0EB80F99456E}"/>
            </a:ext>
          </a:extLst>
        </xdr:cNvPr>
        <xdr:cNvSpPr>
          <a:spLocks noChangeArrowheads="1"/>
        </xdr:cNvSpPr>
      </xdr:nvSpPr>
      <xdr:spPr bwMode="auto">
        <a:xfrm>
          <a:off x="4940300" y="2495550"/>
          <a:ext cx="88900" cy="10160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7</xdr:col>
      <xdr:colOff>330200</xdr:colOff>
      <xdr:row>20</xdr:row>
      <xdr:rowOff>56173</xdr:rowOff>
    </xdr:from>
    <xdr:to>
      <xdr:col>7</xdr:col>
      <xdr:colOff>412750</xdr:colOff>
      <xdr:row>20</xdr:row>
      <xdr:rowOff>151423</xdr:rowOff>
    </xdr:to>
    <xdr:sp macro="" textlink="">
      <xdr:nvSpPr>
        <xdr:cNvPr id="40" name="Oval 84">
          <a:extLst>
            <a:ext uri="{FF2B5EF4-FFF2-40B4-BE49-F238E27FC236}">
              <a16:creationId xmlns:a16="http://schemas.microsoft.com/office/drawing/2014/main" id="{F2224E91-829E-4FD5-A03B-66F8CCDCCCA3}"/>
            </a:ext>
          </a:extLst>
        </xdr:cNvPr>
        <xdr:cNvSpPr>
          <a:spLocks noChangeArrowheads="1"/>
        </xdr:cNvSpPr>
      </xdr:nvSpPr>
      <xdr:spPr bwMode="auto">
        <a:xfrm>
          <a:off x="6975719" y="3367942"/>
          <a:ext cx="82550" cy="9525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11</xdr:col>
      <xdr:colOff>3175</xdr:colOff>
      <xdr:row>16</xdr:row>
      <xdr:rowOff>31750</xdr:rowOff>
    </xdr:from>
    <xdr:to>
      <xdr:col>11</xdr:col>
      <xdr:colOff>82550</xdr:colOff>
      <xdr:row>16</xdr:row>
      <xdr:rowOff>120650</xdr:rowOff>
    </xdr:to>
    <xdr:sp macro="" textlink="">
      <xdr:nvSpPr>
        <xdr:cNvPr id="41" name="Oval 85">
          <a:extLst>
            <a:ext uri="{FF2B5EF4-FFF2-40B4-BE49-F238E27FC236}">
              <a16:creationId xmlns:a16="http://schemas.microsoft.com/office/drawing/2014/main" id="{D1A1A1E0-944D-4431-95A4-7CAA0D7EA0B9}"/>
            </a:ext>
          </a:extLst>
        </xdr:cNvPr>
        <xdr:cNvSpPr>
          <a:spLocks noChangeArrowheads="1"/>
        </xdr:cNvSpPr>
      </xdr:nvSpPr>
      <xdr:spPr bwMode="auto">
        <a:xfrm>
          <a:off x="9363075" y="2755900"/>
          <a:ext cx="79375" cy="8890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9</xdr:col>
      <xdr:colOff>203200</xdr:colOff>
      <xdr:row>19</xdr:row>
      <xdr:rowOff>141654</xdr:rowOff>
    </xdr:from>
    <xdr:to>
      <xdr:col>9</xdr:col>
      <xdr:colOff>292100</xdr:colOff>
      <xdr:row>20</xdr:row>
      <xdr:rowOff>78154</xdr:rowOff>
    </xdr:to>
    <xdr:sp macro="" textlink="">
      <xdr:nvSpPr>
        <xdr:cNvPr id="42" name="Oval 86">
          <a:extLst>
            <a:ext uri="{FF2B5EF4-FFF2-40B4-BE49-F238E27FC236}">
              <a16:creationId xmlns:a16="http://schemas.microsoft.com/office/drawing/2014/main" id="{56BB65C5-B556-478A-897A-98A57C2CEF4C}"/>
            </a:ext>
          </a:extLst>
        </xdr:cNvPr>
        <xdr:cNvSpPr>
          <a:spLocks noChangeArrowheads="1"/>
        </xdr:cNvSpPr>
      </xdr:nvSpPr>
      <xdr:spPr bwMode="auto">
        <a:xfrm>
          <a:off x="8130931" y="3292231"/>
          <a:ext cx="88900" cy="97692"/>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oneCellAnchor>
    <xdr:from>
      <xdr:col>11</xdr:col>
      <xdr:colOff>561975</xdr:colOff>
      <xdr:row>11</xdr:row>
      <xdr:rowOff>73025</xdr:rowOff>
    </xdr:from>
    <xdr:ext cx="400582" cy="146194"/>
    <xdr:sp macro="" textlink="">
      <xdr:nvSpPr>
        <xdr:cNvPr id="43" name="Text Box 87">
          <a:extLst>
            <a:ext uri="{FF2B5EF4-FFF2-40B4-BE49-F238E27FC236}">
              <a16:creationId xmlns:a16="http://schemas.microsoft.com/office/drawing/2014/main" id="{ABCB76C4-272C-48E6-93F0-0D7DE8640938}"/>
            </a:ext>
          </a:extLst>
        </xdr:cNvPr>
        <xdr:cNvSpPr txBox="1">
          <a:spLocks noChangeArrowheads="1"/>
        </xdr:cNvSpPr>
      </xdr:nvSpPr>
      <xdr:spPr bwMode="auto">
        <a:xfrm>
          <a:off x="9896475" y="8188325"/>
          <a:ext cx="400582"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13</a:t>
          </a:r>
        </a:p>
      </xdr:txBody>
    </xdr:sp>
    <xdr:clientData/>
  </xdr:oneCellAnchor>
  <xdr:oneCellAnchor>
    <xdr:from>
      <xdr:col>11</xdr:col>
      <xdr:colOff>177800</xdr:colOff>
      <xdr:row>16</xdr:row>
      <xdr:rowOff>66675</xdr:rowOff>
    </xdr:from>
    <xdr:ext cx="400582" cy="146194"/>
    <xdr:sp macro="" textlink="">
      <xdr:nvSpPr>
        <xdr:cNvPr id="44" name="Text Box 88">
          <a:extLst>
            <a:ext uri="{FF2B5EF4-FFF2-40B4-BE49-F238E27FC236}">
              <a16:creationId xmlns:a16="http://schemas.microsoft.com/office/drawing/2014/main" id="{34C221D3-9FD6-492C-985C-7464FAD69ADE}"/>
            </a:ext>
          </a:extLst>
        </xdr:cNvPr>
        <xdr:cNvSpPr txBox="1">
          <a:spLocks noChangeArrowheads="1"/>
        </xdr:cNvSpPr>
      </xdr:nvSpPr>
      <xdr:spPr bwMode="auto">
        <a:xfrm>
          <a:off x="9512300" y="8991600"/>
          <a:ext cx="400582"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12</a:t>
          </a:r>
        </a:p>
      </xdr:txBody>
    </xdr:sp>
    <xdr:clientData/>
  </xdr:oneCellAnchor>
  <xdr:oneCellAnchor>
    <xdr:from>
      <xdr:col>9</xdr:col>
      <xdr:colOff>393700</xdr:colOff>
      <xdr:row>20</xdr:row>
      <xdr:rowOff>38100</xdr:rowOff>
    </xdr:from>
    <xdr:ext cx="400582" cy="146194"/>
    <xdr:sp macro="" textlink="">
      <xdr:nvSpPr>
        <xdr:cNvPr id="45" name="Text Box 89">
          <a:extLst>
            <a:ext uri="{FF2B5EF4-FFF2-40B4-BE49-F238E27FC236}">
              <a16:creationId xmlns:a16="http://schemas.microsoft.com/office/drawing/2014/main" id="{49373ADF-D6E2-4431-B5AF-147352D009DA}"/>
            </a:ext>
          </a:extLst>
        </xdr:cNvPr>
        <xdr:cNvSpPr txBox="1">
          <a:spLocks noChangeArrowheads="1"/>
        </xdr:cNvSpPr>
      </xdr:nvSpPr>
      <xdr:spPr bwMode="auto">
        <a:xfrm>
          <a:off x="8280400" y="9610725"/>
          <a:ext cx="400582"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11</a:t>
          </a:r>
        </a:p>
      </xdr:txBody>
    </xdr:sp>
    <xdr:clientData/>
  </xdr:oneCellAnchor>
  <xdr:oneCellAnchor>
    <xdr:from>
      <xdr:col>7</xdr:col>
      <xdr:colOff>409575</xdr:colOff>
      <xdr:row>19</xdr:row>
      <xdr:rowOff>76200</xdr:rowOff>
    </xdr:from>
    <xdr:ext cx="400582" cy="146194"/>
    <xdr:sp macro="" textlink="">
      <xdr:nvSpPr>
        <xdr:cNvPr id="46" name="Text Box 90">
          <a:extLst>
            <a:ext uri="{FF2B5EF4-FFF2-40B4-BE49-F238E27FC236}">
              <a16:creationId xmlns:a16="http://schemas.microsoft.com/office/drawing/2014/main" id="{C9FB50E2-5B6A-4EEB-B7C8-BEC127ACC420}"/>
            </a:ext>
          </a:extLst>
        </xdr:cNvPr>
        <xdr:cNvSpPr txBox="1">
          <a:spLocks noChangeArrowheads="1"/>
        </xdr:cNvSpPr>
      </xdr:nvSpPr>
      <xdr:spPr bwMode="auto">
        <a:xfrm>
          <a:off x="7115175" y="9486900"/>
          <a:ext cx="400582"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10</a:t>
          </a:r>
        </a:p>
      </xdr:txBody>
    </xdr:sp>
    <xdr:clientData/>
  </xdr:oneCellAnchor>
  <xdr:oneCellAnchor>
    <xdr:from>
      <xdr:col>5</xdr:col>
      <xdr:colOff>117475</xdr:colOff>
      <xdr:row>17</xdr:row>
      <xdr:rowOff>38100</xdr:rowOff>
    </xdr:from>
    <xdr:ext cx="343526" cy="146194"/>
    <xdr:sp macro="" textlink="">
      <xdr:nvSpPr>
        <xdr:cNvPr id="47" name="Text Box 91">
          <a:extLst>
            <a:ext uri="{FF2B5EF4-FFF2-40B4-BE49-F238E27FC236}">
              <a16:creationId xmlns:a16="http://schemas.microsoft.com/office/drawing/2014/main" id="{DC5398E7-53EC-4A9C-A618-31273528DDCE}"/>
            </a:ext>
          </a:extLst>
        </xdr:cNvPr>
        <xdr:cNvSpPr txBox="1">
          <a:spLocks noChangeArrowheads="1"/>
        </xdr:cNvSpPr>
      </xdr:nvSpPr>
      <xdr:spPr bwMode="auto">
        <a:xfrm>
          <a:off x="5508625" y="9124950"/>
          <a:ext cx="343526"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7</a:t>
          </a:r>
        </a:p>
      </xdr:txBody>
    </xdr:sp>
    <xdr:clientData/>
  </xdr:oneCellAnchor>
  <xdr:oneCellAnchor>
    <xdr:from>
      <xdr:col>3</xdr:col>
      <xdr:colOff>434975</xdr:colOff>
      <xdr:row>14</xdr:row>
      <xdr:rowOff>76200</xdr:rowOff>
    </xdr:from>
    <xdr:ext cx="350673" cy="170560"/>
    <xdr:sp macro="" textlink="">
      <xdr:nvSpPr>
        <xdr:cNvPr id="48" name="Text Box 92">
          <a:extLst>
            <a:ext uri="{FF2B5EF4-FFF2-40B4-BE49-F238E27FC236}">
              <a16:creationId xmlns:a16="http://schemas.microsoft.com/office/drawing/2014/main" id="{AE8FE641-B80C-4193-8AAE-5284A0338B4E}"/>
            </a:ext>
          </a:extLst>
        </xdr:cNvPr>
        <xdr:cNvSpPr txBox="1">
          <a:spLocks noChangeArrowheads="1"/>
        </xdr:cNvSpPr>
      </xdr:nvSpPr>
      <xdr:spPr bwMode="auto">
        <a:xfrm>
          <a:off x="4378325" y="2470150"/>
          <a:ext cx="350673"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a:t>
          </a:r>
          <a:r>
            <a:rPr lang="en-US" sz="1000" b="0" i="0" strike="noStrike">
              <a:solidFill>
                <a:srgbClr val="000000"/>
              </a:solidFill>
              <a:latin typeface="Arial"/>
              <a:cs typeface="Arial"/>
            </a:rPr>
            <a:t> </a:t>
          </a:r>
          <a:r>
            <a:rPr lang="en-US" sz="800" b="0" i="0" strike="noStrike">
              <a:solidFill>
                <a:srgbClr val="000000"/>
              </a:solidFill>
              <a:latin typeface="Arial"/>
              <a:cs typeface="Arial"/>
            </a:rPr>
            <a:t>4</a:t>
          </a:r>
        </a:p>
      </xdr:txBody>
    </xdr:sp>
    <xdr:clientData/>
  </xdr:oneCellAnchor>
  <xdr:oneCellAnchor>
    <xdr:from>
      <xdr:col>3</xdr:col>
      <xdr:colOff>225425</xdr:colOff>
      <xdr:row>11</xdr:row>
      <xdr:rowOff>73025</xdr:rowOff>
    </xdr:from>
    <xdr:ext cx="343526" cy="146194"/>
    <xdr:sp macro="" textlink="">
      <xdr:nvSpPr>
        <xdr:cNvPr id="49" name="Text Box 93">
          <a:extLst>
            <a:ext uri="{FF2B5EF4-FFF2-40B4-BE49-F238E27FC236}">
              <a16:creationId xmlns:a16="http://schemas.microsoft.com/office/drawing/2014/main" id="{5CC1D31F-16C0-46F8-8B9F-2BA7CB25800D}"/>
            </a:ext>
          </a:extLst>
        </xdr:cNvPr>
        <xdr:cNvSpPr txBox="1">
          <a:spLocks noChangeArrowheads="1"/>
        </xdr:cNvSpPr>
      </xdr:nvSpPr>
      <xdr:spPr bwMode="auto">
        <a:xfrm>
          <a:off x="4244975" y="8188325"/>
          <a:ext cx="343526"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1</a:t>
          </a:r>
        </a:p>
      </xdr:txBody>
    </xdr:sp>
    <xdr:clientData/>
  </xdr:oneCellAnchor>
  <xdr:twoCellAnchor>
    <xdr:from>
      <xdr:col>6</xdr:col>
      <xdr:colOff>314325</xdr:colOff>
      <xdr:row>40</xdr:row>
      <xdr:rowOff>139700</xdr:rowOff>
    </xdr:from>
    <xdr:to>
      <xdr:col>6</xdr:col>
      <xdr:colOff>314325</xdr:colOff>
      <xdr:row>42</xdr:row>
      <xdr:rowOff>25400</xdr:rowOff>
    </xdr:to>
    <xdr:sp macro="" textlink="">
      <xdr:nvSpPr>
        <xdr:cNvPr id="50" name="Line 94">
          <a:extLst>
            <a:ext uri="{FF2B5EF4-FFF2-40B4-BE49-F238E27FC236}">
              <a16:creationId xmlns:a16="http://schemas.microsoft.com/office/drawing/2014/main" id="{E265EC76-D508-4B64-AF98-322553ED5A28}"/>
            </a:ext>
          </a:extLst>
        </xdr:cNvPr>
        <xdr:cNvSpPr>
          <a:spLocks noChangeShapeType="1"/>
        </xdr:cNvSpPr>
      </xdr:nvSpPr>
      <xdr:spPr bwMode="auto">
        <a:xfrm flipV="1">
          <a:off x="6353175" y="7207250"/>
          <a:ext cx="0" cy="209550"/>
        </a:xfrm>
        <a:prstGeom prst="line">
          <a:avLst/>
        </a:prstGeom>
        <a:noFill/>
        <a:ln w="19050">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oneCellAnchor>
    <xdr:from>
      <xdr:col>0</xdr:col>
      <xdr:colOff>1622425</xdr:colOff>
      <xdr:row>26</xdr:row>
      <xdr:rowOff>139700</xdr:rowOff>
    </xdr:from>
    <xdr:ext cx="446268" cy="176972"/>
    <xdr:sp macro="" textlink="">
      <xdr:nvSpPr>
        <xdr:cNvPr id="51" name="Text Box 95">
          <a:extLst>
            <a:ext uri="{FF2B5EF4-FFF2-40B4-BE49-F238E27FC236}">
              <a16:creationId xmlns:a16="http://schemas.microsoft.com/office/drawing/2014/main" id="{04D8B052-176B-4354-967E-D88E71BE7721}"/>
            </a:ext>
          </a:extLst>
        </xdr:cNvPr>
        <xdr:cNvSpPr txBox="1">
          <a:spLocks noChangeArrowheads="1"/>
        </xdr:cNvSpPr>
      </xdr:nvSpPr>
      <xdr:spPr bwMode="auto">
        <a:xfrm>
          <a:off x="1622425" y="10712450"/>
          <a:ext cx="446268"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FF0000"/>
              </a:solidFill>
              <a:latin typeface="Arial"/>
              <a:cs typeface="Arial"/>
            </a:rPr>
            <a:t>perigee</a:t>
          </a:r>
        </a:p>
      </xdr:txBody>
    </xdr:sp>
    <xdr:clientData/>
  </xdr:oneCellAnchor>
  <xdr:oneCellAnchor>
    <xdr:from>
      <xdr:col>0</xdr:col>
      <xdr:colOff>1603375</xdr:colOff>
      <xdr:row>39</xdr:row>
      <xdr:rowOff>0</xdr:rowOff>
    </xdr:from>
    <xdr:ext cx="444500" cy="180975"/>
    <xdr:sp macro="" textlink="">
      <xdr:nvSpPr>
        <xdr:cNvPr id="52" name="Text Box 96">
          <a:extLst>
            <a:ext uri="{FF2B5EF4-FFF2-40B4-BE49-F238E27FC236}">
              <a16:creationId xmlns:a16="http://schemas.microsoft.com/office/drawing/2014/main" id="{BEBC0856-1521-409D-93B3-FEA05197E840}"/>
            </a:ext>
          </a:extLst>
        </xdr:cNvPr>
        <xdr:cNvSpPr txBox="1">
          <a:spLocks noChangeArrowheads="1"/>
        </xdr:cNvSpPr>
      </xdr:nvSpPr>
      <xdr:spPr bwMode="auto">
        <a:xfrm>
          <a:off x="1603375" y="12763500"/>
          <a:ext cx="444500" cy="180975"/>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FF0000"/>
              </a:solidFill>
              <a:latin typeface="Arial"/>
              <a:cs typeface="Arial"/>
            </a:rPr>
            <a:t>apogee</a:t>
          </a:r>
        </a:p>
      </xdr:txBody>
    </xdr:sp>
    <xdr:clientData/>
  </xdr:oneCellAnchor>
  <xdr:twoCellAnchor>
    <xdr:from>
      <xdr:col>0</xdr:col>
      <xdr:colOff>1905000</xdr:colOff>
      <xdr:row>28</xdr:row>
      <xdr:rowOff>38100</xdr:rowOff>
    </xdr:from>
    <xdr:to>
      <xdr:col>0</xdr:col>
      <xdr:colOff>1905000</xdr:colOff>
      <xdr:row>38</xdr:row>
      <xdr:rowOff>114300</xdr:rowOff>
    </xdr:to>
    <xdr:sp macro="" textlink="">
      <xdr:nvSpPr>
        <xdr:cNvPr id="53" name="Line 97">
          <a:extLst>
            <a:ext uri="{FF2B5EF4-FFF2-40B4-BE49-F238E27FC236}">
              <a16:creationId xmlns:a16="http://schemas.microsoft.com/office/drawing/2014/main" id="{8A521209-6E47-4603-9FA6-63E42074CC8E}"/>
            </a:ext>
          </a:extLst>
        </xdr:cNvPr>
        <xdr:cNvSpPr>
          <a:spLocks noChangeShapeType="1"/>
        </xdr:cNvSpPr>
      </xdr:nvSpPr>
      <xdr:spPr bwMode="auto">
        <a:xfrm flipH="1">
          <a:off x="1885950" y="10934700"/>
          <a:ext cx="0" cy="1781175"/>
        </a:xfrm>
        <a:prstGeom prst="line">
          <a:avLst/>
        </a:prstGeom>
        <a:noFill/>
        <a:ln w="9525">
          <a:solidFill>
            <a:srgbClr val="FF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0</xdr:col>
      <xdr:colOff>1905000</xdr:colOff>
      <xdr:row>28</xdr:row>
      <xdr:rowOff>25400</xdr:rowOff>
    </xdr:from>
    <xdr:to>
      <xdr:col>0</xdr:col>
      <xdr:colOff>1905000</xdr:colOff>
      <xdr:row>33</xdr:row>
      <xdr:rowOff>12700</xdr:rowOff>
    </xdr:to>
    <xdr:sp macro="" textlink="">
      <xdr:nvSpPr>
        <xdr:cNvPr id="54" name="Line 98">
          <a:extLst>
            <a:ext uri="{FF2B5EF4-FFF2-40B4-BE49-F238E27FC236}">
              <a16:creationId xmlns:a16="http://schemas.microsoft.com/office/drawing/2014/main" id="{F675E10B-8A34-4A5F-8215-5FFB37E80E70}"/>
            </a:ext>
          </a:extLst>
        </xdr:cNvPr>
        <xdr:cNvSpPr>
          <a:spLocks noChangeShapeType="1"/>
        </xdr:cNvSpPr>
      </xdr:nvSpPr>
      <xdr:spPr bwMode="auto">
        <a:xfrm>
          <a:off x="1885950" y="10922000"/>
          <a:ext cx="0" cy="844550"/>
        </a:xfrm>
        <a:prstGeom prst="line">
          <a:avLst/>
        </a:prstGeom>
        <a:noFill/>
        <a:ln w="9525">
          <a:solidFill>
            <a:srgbClr val="FF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11</xdr:col>
      <xdr:colOff>368300</xdr:colOff>
      <xdr:row>11</xdr:row>
      <xdr:rowOff>127000</xdr:rowOff>
    </xdr:from>
    <xdr:to>
      <xdr:col>11</xdr:col>
      <xdr:colOff>444500</xdr:colOff>
      <xdr:row>12</xdr:row>
      <xdr:rowOff>44450</xdr:rowOff>
    </xdr:to>
    <xdr:sp macro="" textlink="">
      <xdr:nvSpPr>
        <xdr:cNvPr id="55" name="Oval 80">
          <a:extLst>
            <a:ext uri="{FF2B5EF4-FFF2-40B4-BE49-F238E27FC236}">
              <a16:creationId xmlns:a16="http://schemas.microsoft.com/office/drawing/2014/main" id="{EC469A72-C318-4A38-9052-E5AFE9FFFEE3}"/>
            </a:ext>
          </a:extLst>
        </xdr:cNvPr>
        <xdr:cNvSpPr>
          <a:spLocks noChangeArrowheads="1"/>
        </xdr:cNvSpPr>
      </xdr:nvSpPr>
      <xdr:spPr bwMode="auto">
        <a:xfrm>
          <a:off x="9728200" y="2025650"/>
          <a:ext cx="76200" cy="8255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22</xdr:col>
      <xdr:colOff>296863</xdr:colOff>
      <xdr:row>3</xdr:row>
      <xdr:rowOff>23813</xdr:rowOff>
    </xdr:from>
    <xdr:to>
      <xdr:col>22</xdr:col>
      <xdr:colOff>534988</xdr:colOff>
      <xdr:row>5</xdr:row>
      <xdr:rowOff>33338</xdr:rowOff>
    </xdr:to>
    <xdr:sp macro="" textlink="">
      <xdr:nvSpPr>
        <xdr:cNvPr id="56" name="Cube 55">
          <a:extLst>
            <a:ext uri="{FF2B5EF4-FFF2-40B4-BE49-F238E27FC236}">
              <a16:creationId xmlns:a16="http://schemas.microsoft.com/office/drawing/2014/main" id="{05D6ED8A-CBEC-4614-9B37-9B1867E209A1}"/>
            </a:ext>
          </a:extLst>
        </xdr:cNvPr>
        <xdr:cNvSpPr/>
      </xdr:nvSpPr>
      <xdr:spPr bwMode="auto">
        <a:xfrm rot="5340000">
          <a:off x="16468726" y="671513"/>
          <a:ext cx="374650" cy="238125"/>
        </a:xfrm>
        <a:prstGeom prst="cube">
          <a:avLst/>
        </a:prstGeom>
        <a:solidFill>
          <a:schemeClr val="accent1"/>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22</xdr:col>
      <xdr:colOff>342900</xdr:colOff>
      <xdr:row>5</xdr:row>
      <xdr:rowOff>0</xdr:rowOff>
    </xdr:from>
    <xdr:to>
      <xdr:col>22</xdr:col>
      <xdr:colOff>476250</xdr:colOff>
      <xdr:row>5</xdr:row>
      <xdr:rowOff>28575</xdr:rowOff>
    </xdr:to>
    <xdr:sp macro="" textlink="">
      <xdr:nvSpPr>
        <xdr:cNvPr id="57" name="Oval 56">
          <a:extLst>
            <a:ext uri="{FF2B5EF4-FFF2-40B4-BE49-F238E27FC236}">
              <a16:creationId xmlns:a16="http://schemas.microsoft.com/office/drawing/2014/main" id="{90A14FD0-8F06-4556-9D1B-E5CEA66DE693}"/>
            </a:ext>
          </a:extLst>
        </xdr:cNvPr>
        <xdr:cNvSpPr/>
      </xdr:nvSpPr>
      <xdr:spPr bwMode="auto">
        <a:xfrm>
          <a:off x="16554450" y="952500"/>
          <a:ext cx="133350" cy="28575"/>
        </a:xfrm>
        <a:prstGeom prst="ellips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22</xdr:col>
      <xdr:colOff>409575</xdr:colOff>
      <xdr:row>5</xdr:row>
      <xdr:rowOff>95250</xdr:rowOff>
    </xdr:from>
    <xdr:to>
      <xdr:col>22</xdr:col>
      <xdr:colOff>493212</xdr:colOff>
      <xdr:row>29</xdr:row>
      <xdr:rowOff>109095</xdr:rowOff>
    </xdr:to>
    <xdr:cxnSp macro="">
      <xdr:nvCxnSpPr>
        <xdr:cNvPr id="58" name="Straight Connector 57">
          <a:extLst>
            <a:ext uri="{FF2B5EF4-FFF2-40B4-BE49-F238E27FC236}">
              <a16:creationId xmlns:a16="http://schemas.microsoft.com/office/drawing/2014/main" id="{92A67A0D-060F-4C57-B22E-45516386B5DB}"/>
            </a:ext>
          </a:extLst>
        </xdr:cNvPr>
        <xdr:cNvCxnSpPr/>
      </xdr:nvCxnSpPr>
      <xdr:spPr bwMode="auto">
        <a:xfrm>
          <a:off x="16306800" y="15020925"/>
          <a:ext cx="83637" cy="4138170"/>
        </a:xfrm>
        <a:prstGeom prst="line">
          <a:avLst/>
        </a:prstGeom>
        <a:solidFill>
          <a:srgbClr val="FFFFFF"/>
        </a:solidFill>
        <a:ln w="9525" cap="flat" cmpd="sng" algn="ctr">
          <a:solidFill>
            <a:srgbClr val="000000"/>
          </a:solidFill>
          <a:prstDash val="lgDashDotDot"/>
          <a:round/>
          <a:headEnd type="none" w="med" len="med"/>
          <a:tailEnd type="none" w="med" len="med"/>
        </a:ln>
        <a:effectLst/>
      </xdr:spPr>
    </xdr:cxnSp>
    <xdr:clientData/>
  </xdr:twoCellAnchor>
  <xdr:twoCellAnchor>
    <xdr:from>
      <xdr:col>19</xdr:col>
      <xdr:colOff>539654</xdr:colOff>
      <xdr:row>5</xdr:row>
      <xdr:rowOff>114300</xdr:rowOff>
    </xdr:from>
    <xdr:to>
      <xdr:col>22</xdr:col>
      <xdr:colOff>400052</xdr:colOff>
      <xdr:row>29</xdr:row>
      <xdr:rowOff>114777</xdr:rowOff>
    </xdr:to>
    <xdr:cxnSp macro="">
      <xdr:nvCxnSpPr>
        <xdr:cNvPr id="59" name="Straight Connector 58">
          <a:extLst>
            <a:ext uri="{FF2B5EF4-FFF2-40B4-BE49-F238E27FC236}">
              <a16:creationId xmlns:a16="http://schemas.microsoft.com/office/drawing/2014/main" id="{D4C1F28C-2FF1-44F6-A0C5-89C8B3C0E590}"/>
            </a:ext>
          </a:extLst>
        </xdr:cNvPr>
        <xdr:cNvCxnSpPr/>
      </xdr:nvCxnSpPr>
      <xdr:spPr bwMode="auto">
        <a:xfrm flipH="1">
          <a:off x="14608079" y="15039975"/>
          <a:ext cx="1689198" cy="4124802"/>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twoCellAnchor>
    <xdr:from>
      <xdr:col>20</xdr:col>
      <xdr:colOff>514350</xdr:colOff>
      <xdr:row>5</xdr:row>
      <xdr:rowOff>123825</xdr:rowOff>
    </xdr:from>
    <xdr:to>
      <xdr:col>22</xdr:col>
      <xdr:colOff>419103</xdr:colOff>
      <xdr:row>24</xdr:row>
      <xdr:rowOff>123825</xdr:rowOff>
    </xdr:to>
    <xdr:cxnSp macro="">
      <xdr:nvCxnSpPr>
        <xdr:cNvPr id="60" name="Straight Connector 59">
          <a:extLst>
            <a:ext uri="{FF2B5EF4-FFF2-40B4-BE49-F238E27FC236}">
              <a16:creationId xmlns:a16="http://schemas.microsoft.com/office/drawing/2014/main" id="{E1CBFEEC-318E-40A7-AB65-3779A7403FB2}"/>
            </a:ext>
          </a:extLst>
        </xdr:cNvPr>
        <xdr:cNvCxnSpPr/>
      </xdr:nvCxnSpPr>
      <xdr:spPr bwMode="auto">
        <a:xfrm flipH="1">
          <a:off x="15506700" y="1076325"/>
          <a:ext cx="1123953" cy="3333750"/>
        </a:xfrm>
        <a:prstGeom prst="line">
          <a:avLst/>
        </a:prstGeom>
        <a:ln w="19050">
          <a:headEnd type="none" w="med" len="med"/>
          <a:tailEnd type="none"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19</xdr:col>
      <xdr:colOff>276225</xdr:colOff>
      <xdr:row>5</xdr:row>
      <xdr:rowOff>76200</xdr:rowOff>
    </xdr:from>
    <xdr:to>
      <xdr:col>22</xdr:col>
      <xdr:colOff>409579</xdr:colOff>
      <xdr:row>29</xdr:row>
      <xdr:rowOff>104775</xdr:rowOff>
    </xdr:to>
    <xdr:cxnSp macro="">
      <xdr:nvCxnSpPr>
        <xdr:cNvPr id="61" name="Straight Connector 60">
          <a:extLst>
            <a:ext uri="{FF2B5EF4-FFF2-40B4-BE49-F238E27FC236}">
              <a16:creationId xmlns:a16="http://schemas.microsoft.com/office/drawing/2014/main" id="{F1D32437-41D5-4203-8C40-98F3EBE86FCE}"/>
            </a:ext>
          </a:extLst>
        </xdr:cNvPr>
        <xdr:cNvCxnSpPr/>
      </xdr:nvCxnSpPr>
      <xdr:spPr bwMode="auto">
        <a:xfrm flipH="1">
          <a:off x="14344650" y="15001875"/>
          <a:ext cx="1962154" cy="4152900"/>
        </a:xfrm>
        <a:prstGeom prst="line">
          <a:avLst/>
        </a:prstGeom>
        <a:ln w="19050">
          <a:solidFill>
            <a:schemeClr val="tx2"/>
          </a:solidFill>
          <a:prstDash val="dash"/>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22</xdr:col>
      <xdr:colOff>409575</xdr:colOff>
      <xdr:row>5</xdr:row>
      <xdr:rowOff>95250</xdr:rowOff>
    </xdr:from>
    <xdr:to>
      <xdr:col>26</xdr:col>
      <xdr:colOff>95250</xdr:colOff>
      <xdr:row>29</xdr:row>
      <xdr:rowOff>85725</xdr:rowOff>
    </xdr:to>
    <xdr:cxnSp macro="">
      <xdr:nvCxnSpPr>
        <xdr:cNvPr id="62" name="Straight Connector 61">
          <a:extLst>
            <a:ext uri="{FF2B5EF4-FFF2-40B4-BE49-F238E27FC236}">
              <a16:creationId xmlns:a16="http://schemas.microsoft.com/office/drawing/2014/main" id="{F20434DF-D6CC-46F6-9509-506B57C1B7D3}"/>
            </a:ext>
          </a:extLst>
        </xdr:cNvPr>
        <xdr:cNvCxnSpPr/>
      </xdr:nvCxnSpPr>
      <xdr:spPr bwMode="auto">
        <a:xfrm>
          <a:off x="16621125" y="1047750"/>
          <a:ext cx="2124075" cy="4171950"/>
        </a:xfrm>
        <a:prstGeom prst="line">
          <a:avLst/>
        </a:prstGeom>
        <a:ln w="19050">
          <a:solidFill>
            <a:schemeClr val="tx2"/>
          </a:solidFill>
          <a:prstDash val="dash"/>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oneCellAnchor>
    <xdr:from>
      <xdr:col>21</xdr:col>
      <xdr:colOff>142875</xdr:colOff>
      <xdr:row>26</xdr:row>
      <xdr:rowOff>66675</xdr:rowOff>
    </xdr:from>
    <xdr:ext cx="392095" cy="288412"/>
    <xdr:sp macro="" textlink="">
      <xdr:nvSpPr>
        <xdr:cNvPr id="63" name="TextBox 62">
          <a:extLst>
            <a:ext uri="{FF2B5EF4-FFF2-40B4-BE49-F238E27FC236}">
              <a16:creationId xmlns:a16="http://schemas.microsoft.com/office/drawing/2014/main" id="{2BDD0432-CB20-4B92-961D-33A0C63CF4C0}"/>
            </a:ext>
          </a:extLst>
        </xdr:cNvPr>
        <xdr:cNvSpPr txBox="1"/>
      </xdr:nvSpPr>
      <xdr:spPr>
        <a:xfrm>
          <a:off x="15430500" y="18630900"/>
          <a:ext cx="392095" cy="288412"/>
        </a:xfrm>
        <a:prstGeom prst="rect">
          <a:avLst/>
        </a:prstGeom>
        <a:solidFill>
          <a:schemeClr val="accent5">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olidFill>
                <a:sysClr val="windowText" lastClr="000000"/>
              </a:solidFill>
              <a:sym typeface="Symbol" panose="05050102010706020507" pitchFamily="18" charset="2"/>
            </a:rPr>
            <a:t>/2</a:t>
          </a:r>
          <a:endParaRPr lang="en-AU" sz="1200" b="1">
            <a:solidFill>
              <a:sysClr val="windowText" lastClr="000000"/>
            </a:solidFill>
          </a:endParaRPr>
        </a:p>
      </xdr:txBody>
    </xdr:sp>
    <xdr:clientData/>
  </xdr:oneCellAnchor>
  <xdr:twoCellAnchor>
    <xdr:from>
      <xdr:col>20</xdr:col>
      <xdr:colOff>533400</xdr:colOff>
      <xdr:row>21</xdr:row>
      <xdr:rowOff>133350</xdr:rowOff>
    </xdr:from>
    <xdr:to>
      <xdr:col>22</xdr:col>
      <xdr:colOff>0</xdr:colOff>
      <xdr:row>24</xdr:row>
      <xdr:rowOff>104776</xdr:rowOff>
    </xdr:to>
    <xdr:cxnSp macro="">
      <xdr:nvCxnSpPr>
        <xdr:cNvPr id="64" name="Straight Connector 63">
          <a:extLst>
            <a:ext uri="{FF2B5EF4-FFF2-40B4-BE49-F238E27FC236}">
              <a16:creationId xmlns:a16="http://schemas.microsoft.com/office/drawing/2014/main" id="{CE7DCAA3-3314-4C60-893B-1DAD46226CB2}"/>
            </a:ext>
          </a:extLst>
        </xdr:cNvPr>
        <xdr:cNvCxnSpPr/>
      </xdr:nvCxnSpPr>
      <xdr:spPr bwMode="auto">
        <a:xfrm flipV="1">
          <a:off x="15525750" y="3886200"/>
          <a:ext cx="685800" cy="504826"/>
        </a:xfrm>
        <a:prstGeom prst="line">
          <a:avLst/>
        </a:prstGeom>
        <a:ln w="19050">
          <a:headEnd type="none" w="med" len="med"/>
          <a:tailEnd type="none" w="med" len="med"/>
        </a:ln>
      </xdr:spPr>
      <xdr:style>
        <a:lnRef idx="1">
          <a:schemeClr val="accent2"/>
        </a:lnRef>
        <a:fillRef idx="0">
          <a:schemeClr val="accent2"/>
        </a:fillRef>
        <a:effectRef idx="0">
          <a:schemeClr val="accent2"/>
        </a:effectRef>
        <a:fontRef idx="minor">
          <a:schemeClr val="tx1"/>
        </a:fontRef>
      </xdr:style>
    </xdr:cxnSp>
    <xdr:clientData/>
  </xdr:twoCellAnchor>
  <xdr:oneCellAnchor>
    <xdr:from>
      <xdr:col>21</xdr:col>
      <xdr:colOff>47625</xdr:colOff>
      <xdr:row>21</xdr:row>
      <xdr:rowOff>95250</xdr:rowOff>
    </xdr:from>
    <xdr:ext cx="252313" cy="288412"/>
    <xdr:sp macro="" textlink="">
      <xdr:nvSpPr>
        <xdr:cNvPr id="65" name="TextBox 64">
          <a:extLst>
            <a:ext uri="{FF2B5EF4-FFF2-40B4-BE49-F238E27FC236}">
              <a16:creationId xmlns:a16="http://schemas.microsoft.com/office/drawing/2014/main" id="{6DE692CC-72A6-4A6E-AC74-C308CA7EF047}"/>
            </a:ext>
          </a:extLst>
        </xdr:cNvPr>
        <xdr:cNvSpPr txBox="1"/>
      </xdr:nvSpPr>
      <xdr:spPr>
        <a:xfrm>
          <a:off x="15335250" y="17849850"/>
          <a:ext cx="252313"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oneCellAnchor>
    <xdr:from>
      <xdr:col>21</xdr:col>
      <xdr:colOff>533400</xdr:colOff>
      <xdr:row>17</xdr:row>
      <xdr:rowOff>47625</xdr:rowOff>
    </xdr:from>
    <xdr:ext cx="269176" cy="288412"/>
    <xdr:sp macro="" textlink="">
      <xdr:nvSpPr>
        <xdr:cNvPr id="66" name="TextBox 65">
          <a:extLst>
            <a:ext uri="{FF2B5EF4-FFF2-40B4-BE49-F238E27FC236}">
              <a16:creationId xmlns:a16="http://schemas.microsoft.com/office/drawing/2014/main" id="{FF2C8952-72C4-4199-9E2D-A698AFA05B26}"/>
            </a:ext>
          </a:extLst>
        </xdr:cNvPr>
        <xdr:cNvSpPr txBox="1"/>
      </xdr:nvSpPr>
      <xdr:spPr>
        <a:xfrm>
          <a:off x="15821025" y="17145000"/>
          <a:ext cx="269176"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oneCellAnchor>
    <xdr:from>
      <xdr:col>22</xdr:col>
      <xdr:colOff>57150</xdr:colOff>
      <xdr:row>12</xdr:row>
      <xdr:rowOff>0</xdr:rowOff>
    </xdr:from>
    <xdr:ext cx="277512" cy="288412"/>
    <xdr:sp macro="" textlink="">
      <xdr:nvSpPr>
        <xdr:cNvPr id="67" name="TextBox 66">
          <a:extLst>
            <a:ext uri="{FF2B5EF4-FFF2-40B4-BE49-F238E27FC236}">
              <a16:creationId xmlns:a16="http://schemas.microsoft.com/office/drawing/2014/main" id="{4D0CC43F-CE54-46E4-A33D-7E49E6342DAD}"/>
            </a:ext>
          </a:extLst>
        </xdr:cNvPr>
        <xdr:cNvSpPr txBox="1"/>
      </xdr:nvSpPr>
      <xdr:spPr>
        <a:xfrm>
          <a:off x="15954375" y="16221075"/>
          <a:ext cx="277512"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twoCellAnchor>
    <xdr:from>
      <xdr:col>20</xdr:col>
      <xdr:colOff>582202</xdr:colOff>
      <xdr:row>10</xdr:row>
      <xdr:rowOff>54241</xdr:rowOff>
    </xdr:from>
    <xdr:to>
      <xdr:col>23</xdr:col>
      <xdr:colOff>227421</xdr:colOff>
      <xdr:row>18</xdr:row>
      <xdr:rowOff>50533</xdr:rowOff>
    </xdr:to>
    <xdr:sp macro="" textlink="">
      <xdr:nvSpPr>
        <xdr:cNvPr id="68" name="Arc 67">
          <a:extLst>
            <a:ext uri="{FF2B5EF4-FFF2-40B4-BE49-F238E27FC236}">
              <a16:creationId xmlns:a16="http://schemas.microsoft.com/office/drawing/2014/main" id="{352582DD-AA37-473B-ABFA-62E0D67D2AA3}"/>
            </a:ext>
          </a:extLst>
        </xdr:cNvPr>
        <xdr:cNvSpPr/>
      </xdr:nvSpPr>
      <xdr:spPr bwMode="auto">
        <a:xfrm rot="11805058">
          <a:off x="15260227" y="15894316"/>
          <a:ext cx="1474019" cy="1425042"/>
        </a:xfrm>
        <a:prstGeom prst="arc">
          <a:avLst>
            <a:gd name="adj1" fmla="val 15849070"/>
            <a:gd name="adj2" fmla="val 18100460"/>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20</xdr:col>
      <xdr:colOff>598742</xdr:colOff>
      <xdr:row>8</xdr:row>
      <xdr:rowOff>150636</xdr:rowOff>
    </xdr:from>
    <xdr:to>
      <xdr:col>24</xdr:col>
      <xdr:colOff>248982</xdr:colOff>
      <xdr:row>18</xdr:row>
      <xdr:rowOff>125586</xdr:rowOff>
    </xdr:to>
    <xdr:sp macro="" textlink="">
      <xdr:nvSpPr>
        <xdr:cNvPr id="69" name="Arc 68">
          <a:extLst>
            <a:ext uri="{FF2B5EF4-FFF2-40B4-BE49-F238E27FC236}">
              <a16:creationId xmlns:a16="http://schemas.microsoft.com/office/drawing/2014/main" id="{010560A0-9B6C-482A-A10A-4D467B386EC6}"/>
            </a:ext>
          </a:extLst>
        </xdr:cNvPr>
        <xdr:cNvSpPr/>
      </xdr:nvSpPr>
      <xdr:spPr bwMode="auto">
        <a:xfrm rot="11126015" flipH="1">
          <a:off x="15276767" y="15619236"/>
          <a:ext cx="2098165" cy="1775175"/>
        </a:xfrm>
        <a:prstGeom prst="arc">
          <a:avLst>
            <a:gd name="adj1" fmla="val 15320386"/>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21</xdr:col>
      <xdr:colOff>461001</xdr:colOff>
      <xdr:row>6</xdr:row>
      <xdr:rowOff>45489</xdr:rowOff>
    </xdr:from>
    <xdr:to>
      <xdr:col>23</xdr:col>
      <xdr:colOff>391783</xdr:colOff>
      <xdr:row>13</xdr:row>
      <xdr:rowOff>52975</xdr:rowOff>
    </xdr:to>
    <xdr:sp macro="" textlink="">
      <xdr:nvSpPr>
        <xdr:cNvPr id="70" name="Arc 69">
          <a:extLst>
            <a:ext uri="{FF2B5EF4-FFF2-40B4-BE49-F238E27FC236}">
              <a16:creationId xmlns:a16="http://schemas.microsoft.com/office/drawing/2014/main" id="{93FEE8F1-E27A-469D-9302-A18771D76B2E}"/>
            </a:ext>
          </a:extLst>
        </xdr:cNvPr>
        <xdr:cNvSpPr/>
      </xdr:nvSpPr>
      <xdr:spPr bwMode="auto">
        <a:xfrm rot="11126015" flipH="1">
          <a:off x="15748626" y="15180714"/>
          <a:ext cx="1149982" cy="1255261"/>
        </a:xfrm>
        <a:prstGeom prst="arc">
          <a:avLst>
            <a:gd name="adj1" fmla="val 15512518"/>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21</xdr:col>
      <xdr:colOff>298358</xdr:colOff>
      <xdr:row>5</xdr:row>
      <xdr:rowOff>146483</xdr:rowOff>
    </xdr:from>
    <xdr:to>
      <xdr:col>23</xdr:col>
      <xdr:colOff>206343</xdr:colOff>
      <xdr:row>13</xdr:row>
      <xdr:rowOff>4135</xdr:rowOff>
    </xdr:to>
    <xdr:sp macro="" textlink="">
      <xdr:nvSpPr>
        <xdr:cNvPr id="71" name="Arc 70">
          <a:extLst>
            <a:ext uri="{FF2B5EF4-FFF2-40B4-BE49-F238E27FC236}">
              <a16:creationId xmlns:a16="http://schemas.microsoft.com/office/drawing/2014/main" id="{92C363EE-1A74-48E0-B8A8-E4E96EEC56F7}"/>
            </a:ext>
          </a:extLst>
        </xdr:cNvPr>
        <xdr:cNvSpPr/>
      </xdr:nvSpPr>
      <xdr:spPr bwMode="auto">
        <a:xfrm rot="11805058">
          <a:off x="15585983" y="15072158"/>
          <a:ext cx="1127185" cy="1314977"/>
        </a:xfrm>
        <a:prstGeom prst="arc">
          <a:avLst>
            <a:gd name="adj1" fmla="val 15849070"/>
            <a:gd name="adj2" fmla="val 16755230"/>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22</xdr:col>
      <xdr:colOff>377826</xdr:colOff>
      <xdr:row>1</xdr:row>
      <xdr:rowOff>152400</xdr:rowOff>
    </xdr:from>
    <xdr:to>
      <xdr:col>22</xdr:col>
      <xdr:colOff>383173</xdr:colOff>
      <xdr:row>3</xdr:row>
      <xdr:rowOff>24358</xdr:rowOff>
    </xdr:to>
    <xdr:cxnSp macro="">
      <xdr:nvCxnSpPr>
        <xdr:cNvPr id="72" name="Straight Connector 71">
          <a:extLst>
            <a:ext uri="{FF2B5EF4-FFF2-40B4-BE49-F238E27FC236}">
              <a16:creationId xmlns:a16="http://schemas.microsoft.com/office/drawing/2014/main" id="{B918470F-7004-4019-BE75-8F1FAE775AD6}"/>
            </a:ext>
          </a:extLst>
        </xdr:cNvPr>
        <xdr:cNvCxnSpPr>
          <a:endCxn id="56" idx="2"/>
        </xdr:cNvCxnSpPr>
      </xdr:nvCxnSpPr>
      <xdr:spPr bwMode="auto">
        <a:xfrm>
          <a:off x="16617951" y="358775"/>
          <a:ext cx="5347" cy="245021"/>
        </a:xfrm>
        <a:prstGeom prst="line">
          <a:avLst/>
        </a:prstGeom>
        <a:solidFill>
          <a:srgbClr val="FFFFFF"/>
        </a:solidFill>
        <a:ln w="9525" cap="flat" cmpd="sng" algn="ctr">
          <a:solidFill>
            <a:srgbClr val="000000"/>
          </a:solidFill>
          <a:prstDash val="dash"/>
          <a:round/>
          <a:headEnd type="none" w="med" len="med"/>
          <a:tailEnd type="none" w="med" len="med"/>
        </a:ln>
        <a:effectLst/>
      </xdr:spPr>
    </xdr:cxnSp>
    <xdr:clientData/>
  </xdr:twoCellAnchor>
  <xdr:twoCellAnchor>
    <xdr:from>
      <xdr:col>22</xdr:col>
      <xdr:colOff>177801</xdr:colOff>
      <xdr:row>1</xdr:row>
      <xdr:rowOff>152400</xdr:rowOff>
    </xdr:from>
    <xdr:to>
      <xdr:col>22</xdr:col>
      <xdr:colOff>383173</xdr:colOff>
      <xdr:row>3</xdr:row>
      <xdr:rowOff>24358</xdr:rowOff>
    </xdr:to>
    <xdr:cxnSp macro="">
      <xdr:nvCxnSpPr>
        <xdr:cNvPr id="73" name="Straight Connector 72">
          <a:extLst>
            <a:ext uri="{FF2B5EF4-FFF2-40B4-BE49-F238E27FC236}">
              <a16:creationId xmlns:a16="http://schemas.microsoft.com/office/drawing/2014/main" id="{3F92F15B-630B-4FBF-822F-0FE599F6AD77}"/>
            </a:ext>
          </a:extLst>
        </xdr:cNvPr>
        <xdr:cNvCxnSpPr>
          <a:endCxn id="56" idx="2"/>
        </xdr:cNvCxnSpPr>
      </xdr:nvCxnSpPr>
      <xdr:spPr bwMode="auto">
        <a:xfrm>
          <a:off x="16417926" y="358775"/>
          <a:ext cx="205372" cy="245021"/>
        </a:xfrm>
        <a:prstGeom prst="line">
          <a:avLst/>
        </a:prstGeom>
        <a:ln w="19050">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oneCellAnchor>
    <xdr:from>
      <xdr:col>22</xdr:col>
      <xdr:colOff>161925</xdr:colOff>
      <xdr:row>1</xdr:row>
      <xdr:rowOff>57150</xdr:rowOff>
    </xdr:from>
    <xdr:ext cx="264688" cy="264560"/>
    <xdr:sp macro="" textlink="">
      <xdr:nvSpPr>
        <xdr:cNvPr id="74" name="TextBox 73">
          <a:extLst>
            <a:ext uri="{FF2B5EF4-FFF2-40B4-BE49-F238E27FC236}">
              <a16:creationId xmlns:a16="http://schemas.microsoft.com/office/drawing/2014/main" id="{B4BA198F-FE4F-4BB5-8FB7-544D0FC0593C}"/>
            </a:ext>
          </a:extLst>
        </xdr:cNvPr>
        <xdr:cNvSpPr txBox="1"/>
      </xdr:nvSpPr>
      <xdr:spPr>
        <a:xfrm>
          <a:off x="16059150" y="14277975"/>
          <a:ext cx="26468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l-GR" sz="1100">
              <a:latin typeface="Calibri" panose="020F0502020204030204" pitchFamily="34" charset="0"/>
              <a:cs typeface="Calibri" panose="020F0502020204030204" pitchFamily="34" charset="0"/>
            </a:rPr>
            <a:t>α</a:t>
          </a:r>
          <a:endParaRPr lang="en-AU" sz="1100"/>
        </a:p>
      </xdr:txBody>
    </xdr:sp>
    <xdr:clientData/>
  </xdr:oneCellAnchor>
  <xdr:twoCellAnchor>
    <xdr:from>
      <xdr:col>18</xdr:col>
      <xdr:colOff>600807</xdr:colOff>
      <xdr:row>21</xdr:row>
      <xdr:rowOff>14657</xdr:rowOff>
    </xdr:from>
    <xdr:to>
      <xdr:col>22</xdr:col>
      <xdr:colOff>266434</xdr:colOff>
      <xdr:row>31</xdr:row>
      <xdr:rowOff>12321</xdr:rowOff>
    </xdr:to>
    <xdr:sp macro="" textlink="">
      <xdr:nvSpPr>
        <xdr:cNvPr id="77" name="Arc 76">
          <a:extLst>
            <a:ext uri="{FF2B5EF4-FFF2-40B4-BE49-F238E27FC236}">
              <a16:creationId xmlns:a16="http://schemas.microsoft.com/office/drawing/2014/main" id="{F3A65AD6-744D-4000-B54A-771BAF8D3BD8}"/>
            </a:ext>
          </a:extLst>
        </xdr:cNvPr>
        <xdr:cNvSpPr/>
      </xdr:nvSpPr>
      <xdr:spPr bwMode="auto">
        <a:xfrm rot="1750245" flipH="1">
          <a:off x="14360769" y="3670792"/>
          <a:ext cx="2098165" cy="1660875"/>
        </a:xfrm>
        <a:prstGeom prst="arc">
          <a:avLst>
            <a:gd name="adj1" fmla="val 15320386"/>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20</xdr:col>
      <xdr:colOff>485775</xdr:colOff>
      <xdr:row>24</xdr:row>
      <xdr:rowOff>95250</xdr:rowOff>
    </xdr:from>
    <xdr:to>
      <xdr:col>20</xdr:col>
      <xdr:colOff>542925</xdr:colOff>
      <xdr:row>24</xdr:row>
      <xdr:rowOff>152399</xdr:rowOff>
    </xdr:to>
    <xdr:sp macro="" textlink="">
      <xdr:nvSpPr>
        <xdr:cNvPr id="37" name="Flowchart: Connector 36">
          <a:extLst>
            <a:ext uri="{FF2B5EF4-FFF2-40B4-BE49-F238E27FC236}">
              <a16:creationId xmlns:a16="http://schemas.microsoft.com/office/drawing/2014/main" id="{594EBC27-CD8F-42A1-87D9-AFF6837BDE14}"/>
            </a:ext>
          </a:extLst>
        </xdr:cNvPr>
        <xdr:cNvSpPr/>
      </xdr:nvSpPr>
      <xdr:spPr bwMode="auto">
        <a:xfrm>
          <a:off x="15478125" y="4381500"/>
          <a:ext cx="57150" cy="57149"/>
        </a:xfrm>
        <a:prstGeom prst="flowChartConnector">
          <a:avLst/>
        </a:prstGeom>
        <a:solidFill>
          <a:srgbClr val="FFC00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oneCellAnchor>
    <xdr:from>
      <xdr:col>20</xdr:col>
      <xdr:colOff>533400</xdr:colOff>
      <xdr:row>24</xdr:row>
      <xdr:rowOff>47625</xdr:rowOff>
    </xdr:from>
    <xdr:ext cx="767069" cy="217560"/>
    <xdr:sp macro="" textlink="">
      <xdr:nvSpPr>
        <xdr:cNvPr id="78" name="TextBox 77">
          <a:extLst>
            <a:ext uri="{FF2B5EF4-FFF2-40B4-BE49-F238E27FC236}">
              <a16:creationId xmlns:a16="http://schemas.microsoft.com/office/drawing/2014/main" id="{9AC3EAFE-5934-429C-B769-3EB2330BDCBE}"/>
            </a:ext>
          </a:extLst>
        </xdr:cNvPr>
        <xdr:cNvSpPr txBox="1"/>
      </xdr:nvSpPr>
      <xdr:spPr>
        <a:xfrm>
          <a:off x="15525750" y="4333875"/>
          <a:ext cx="767069"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800" b="1"/>
            <a:t>User Location</a:t>
          </a:r>
        </a:p>
      </xdr:txBody>
    </xdr:sp>
    <xdr:clientData/>
  </xdr:oneCellAnchor>
  <xdr:twoCellAnchor>
    <xdr:from>
      <xdr:col>20</xdr:col>
      <xdr:colOff>0</xdr:colOff>
      <xdr:row>35</xdr:row>
      <xdr:rowOff>0</xdr:rowOff>
    </xdr:from>
    <xdr:to>
      <xdr:col>30</xdr:col>
      <xdr:colOff>483410</xdr:colOff>
      <xdr:row>69</xdr:row>
      <xdr:rowOff>51461</xdr:rowOff>
    </xdr:to>
    <xdr:sp macro="" textlink="">
      <xdr:nvSpPr>
        <xdr:cNvPr id="80" name="Arc 79">
          <a:extLst>
            <a:ext uri="{FF2B5EF4-FFF2-40B4-BE49-F238E27FC236}">
              <a16:creationId xmlns:a16="http://schemas.microsoft.com/office/drawing/2014/main" id="{77915E8F-4C3A-49AA-9D66-E15A9338E728}"/>
            </a:ext>
          </a:extLst>
        </xdr:cNvPr>
        <xdr:cNvSpPr/>
      </xdr:nvSpPr>
      <xdr:spPr bwMode="auto">
        <a:xfrm rot="11185679">
          <a:off x="14992350" y="6181725"/>
          <a:ext cx="6579410" cy="5604536"/>
        </a:xfrm>
        <a:prstGeom prst="arc">
          <a:avLst>
            <a:gd name="adj1" fmla="val 14313654"/>
            <a:gd name="adj2" fmla="val 17239568"/>
          </a:avLst>
        </a:prstGeom>
        <a:noFill/>
        <a:ln w="9525" cap="flat" cmpd="sng" algn="ctr">
          <a:solidFill>
            <a:srgbClr val="000000"/>
          </a:solidFill>
          <a:prstDash val="solid"/>
          <a:round/>
          <a:headEnd type="triangl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17</xdr:col>
      <xdr:colOff>89396</xdr:colOff>
      <xdr:row>1</xdr:row>
      <xdr:rowOff>66675</xdr:rowOff>
    </xdr:from>
    <xdr:to>
      <xdr:col>27</xdr:col>
      <xdr:colOff>572806</xdr:colOff>
      <xdr:row>20</xdr:row>
      <xdr:rowOff>105900</xdr:rowOff>
    </xdr:to>
    <xdr:sp macro="" textlink="">
      <xdr:nvSpPr>
        <xdr:cNvPr id="81" name="Arc 80">
          <a:extLst>
            <a:ext uri="{FF2B5EF4-FFF2-40B4-BE49-F238E27FC236}">
              <a16:creationId xmlns:a16="http://schemas.microsoft.com/office/drawing/2014/main" id="{95564268-857D-4729-B32D-1B9BBC3F2F4E}"/>
            </a:ext>
          </a:extLst>
        </xdr:cNvPr>
        <xdr:cNvSpPr/>
      </xdr:nvSpPr>
      <xdr:spPr bwMode="auto">
        <a:xfrm rot="10800000">
          <a:off x="13252946" y="276225"/>
          <a:ext cx="6579410" cy="3420600"/>
        </a:xfrm>
        <a:prstGeom prst="arc">
          <a:avLst>
            <a:gd name="adj1" fmla="val 13736399"/>
            <a:gd name="adj2" fmla="val 18254893"/>
          </a:avLst>
        </a:prstGeom>
        <a:noFill/>
        <a:ln w="9525" cap="flat" cmpd="sng" algn="ctr">
          <a:solidFill>
            <a:srgbClr val="000000"/>
          </a:solidFill>
          <a:prstDash val="solid"/>
          <a:round/>
          <a:headEnd type="triangle" w="med" len="med"/>
          <a:tailEnd type="triangle" w="med" len="med"/>
        </a:ln>
        <a:effectLst/>
      </xdr:spPr>
      <xdr:txBody>
        <a:bodyPr vertOverflow="clip" wrap="square" lIns="18288" tIns="0" rIns="0" bIns="0" rtlCol="0" anchor="ctr" upright="1"/>
        <a:lstStyle/>
        <a:p>
          <a:pPr algn="l"/>
          <a:endParaRPr lang="en-AU" sz="1100"/>
        </a:p>
      </xdr:txBody>
    </xdr:sp>
    <xdr:clientData/>
  </xdr:twoCellAnchor>
  <xdr:oneCellAnchor>
    <xdr:from>
      <xdr:col>22</xdr:col>
      <xdr:colOff>114300</xdr:colOff>
      <xdr:row>19</xdr:row>
      <xdr:rowOff>47625</xdr:rowOff>
    </xdr:from>
    <xdr:ext cx="700256" cy="428259"/>
    <xdr:sp macro="" textlink="">
      <xdr:nvSpPr>
        <xdr:cNvPr id="75" name="TextBox 74">
          <a:extLst>
            <a:ext uri="{FF2B5EF4-FFF2-40B4-BE49-F238E27FC236}">
              <a16:creationId xmlns:a16="http://schemas.microsoft.com/office/drawing/2014/main" id="{870281B8-3A7A-44A9-A285-E638CB00A072}"/>
            </a:ext>
          </a:extLst>
        </xdr:cNvPr>
        <xdr:cNvSpPr txBox="1"/>
      </xdr:nvSpPr>
      <xdr:spPr>
        <a:xfrm>
          <a:off x="16011525" y="17478375"/>
          <a:ext cx="700256" cy="428259"/>
        </a:xfrm>
        <a:prstGeom prst="rect">
          <a:avLst/>
        </a:prstGeom>
        <a:solidFill>
          <a:schemeClr val="bg1">
            <a:lumMod val="6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AU" sz="1050" b="1"/>
            <a:t>-3 dB BW</a:t>
          </a:r>
        </a:p>
        <a:p>
          <a:pPr algn="ctr"/>
          <a:r>
            <a:rPr lang="en-AU" sz="1050" b="1"/>
            <a:t>(</a:t>
          </a:r>
          <a:r>
            <a:rPr lang="en-AU" sz="1050" b="1">
              <a:sym typeface="Symbol" panose="05050102010706020507" pitchFamily="18" charset="2"/>
            </a:rPr>
            <a:t>)</a:t>
          </a:r>
          <a:r>
            <a:rPr lang="en-AU" sz="800" b="1">
              <a:sym typeface="Symbol" panose="05050102010706020507" pitchFamily="18" charset="2"/>
            </a:rPr>
            <a:t>ul or dl</a:t>
          </a:r>
          <a:endParaRPr lang="en-AU" sz="1050" b="1"/>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874561</xdr:colOff>
      <xdr:row>25</xdr:row>
      <xdr:rowOff>77931</xdr:rowOff>
    </xdr:from>
    <xdr:to>
      <xdr:col>0</xdr:col>
      <xdr:colOff>1322236</xdr:colOff>
      <xdr:row>25</xdr:row>
      <xdr:rowOff>77931</xdr:rowOff>
    </xdr:to>
    <xdr:sp macro="" textlink="">
      <xdr:nvSpPr>
        <xdr:cNvPr id="2" name="Line 68">
          <a:extLst>
            <a:ext uri="{FF2B5EF4-FFF2-40B4-BE49-F238E27FC236}">
              <a16:creationId xmlns:a16="http://schemas.microsoft.com/office/drawing/2014/main" id="{879B43A6-3258-417E-A665-7FC14EC73918}"/>
            </a:ext>
          </a:extLst>
        </xdr:cNvPr>
        <xdr:cNvSpPr>
          <a:spLocks noChangeShapeType="1"/>
        </xdr:cNvSpPr>
      </xdr:nvSpPr>
      <xdr:spPr bwMode="auto">
        <a:xfrm>
          <a:off x="874561" y="4684567"/>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0</xdr:col>
      <xdr:colOff>1307522</xdr:colOff>
      <xdr:row>3</xdr:row>
      <xdr:rowOff>0</xdr:rowOff>
    </xdr:from>
    <xdr:to>
      <xdr:col>0</xdr:col>
      <xdr:colOff>1411432</xdr:colOff>
      <xdr:row>7</xdr:row>
      <xdr:rowOff>8659</xdr:rowOff>
    </xdr:to>
    <xdr:sp macro="" textlink="">
      <xdr:nvSpPr>
        <xdr:cNvPr id="3" name="Left Brace 2">
          <a:extLst>
            <a:ext uri="{FF2B5EF4-FFF2-40B4-BE49-F238E27FC236}">
              <a16:creationId xmlns:a16="http://schemas.microsoft.com/office/drawing/2014/main" id="{95AB2271-8C7F-4C46-A2F8-7D8384A1F1F8}"/>
            </a:ext>
          </a:extLst>
        </xdr:cNvPr>
        <xdr:cNvSpPr/>
      </xdr:nvSpPr>
      <xdr:spPr bwMode="auto">
        <a:xfrm>
          <a:off x="1307522" y="978477"/>
          <a:ext cx="103910" cy="666750"/>
        </a:xfrm>
        <a:prstGeom prst="lef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0</xdr:col>
      <xdr:colOff>1298864</xdr:colOff>
      <xdr:row>7</xdr:row>
      <xdr:rowOff>0</xdr:rowOff>
    </xdr:from>
    <xdr:to>
      <xdr:col>1</xdr:col>
      <xdr:colOff>8657</xdr:colOff>
      <xdr:row>10</xdr:row>
      <xdr:rowOff>0</xdr:rowOff>
    </xdr:to>
    <xdr:sp macro="" textlink="">
      <xdr:nvSpPr>
        <xdr:cNvPr id="4" name="Left Brace 3">
          <a:extLst>
            <a:ext uri="{FF2B5EF4-FFF2-40B4-BE49-F238E27FC236}">
              <a16:creationId xmlns:a16="http://schemas.microsoft.com/office/drawing/2014/main" id="{1644192F-D568-4371-A4E8-AD770AEC2924}"/>
            </a:ext>
          </a:extLst>
        </xdr:cNvPr>
        <xdr:cNvSpPr/>
      </xdr:nvSpPr>
      <xdr:spPr bwMode="auto">
        <a:xfrm>
          <a:off x="1298864" y="1636568"/>
          <a:ext cx="129884" cy="493568"/>
        </a:xfrm>
        <a:prstGeom prst="lef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0</xdr:col>
      <xdr:colOff>1316180</xdr:colOff>
      <xdr:row>10</xdr:row>
      <xdr:rowOff>10390</xdr:rowOff>
    </xdr:from>
    <xdr:to>
      <xdr:col>0</xdr:col>
      <xdr:colOff>1420090</xdr:colOff>
      <xdr:row>11</xdr:row>
      <xdr:rowOff>8659</xdr:rowOff>
    </xdr:to>
    <xdr:sp macro="" textlink="">
      <xdr:nvSpPr>
        <xdr:cNvPr id="5" name="Left Brace 4">
          <a:extLst>
            <a:ext uri="{FF2B5EF4-FFF2-40B4-BE49-F238E27FC236}">
              <a16:creationId xmlns:a16="http://schemas.microsoft.com/office/drawing/2014/main" id="{5E610456-6BA2-4CED-BC5C-7C0839B943EA}"/>
            </a:ext>
          </a:extLst>
        </xdr:cNvPr>
        <xdr:cNvSpPr/>
      </xdr:nvSpPr>
      <xdr:spPr bwMode="auto">
        <a:xfrm>
          <a:off x="1316180" y="2140526"/>
          <a:ext cx="103910" cy="162792"/>
        </a:xfrm>
        <a:prstGeom prst="lef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0</xdr:col>
      <xdr:colOff>1312718</xdr:colOff>
      <xdr:row>11</xdr:row>
      <xdr:rowOff>5196</xdr:rowOff>
    </xdr:from>
    <xdr:to>
      <xdr:col>0</xdr:col>
      <xdr:colOff>1411431</xdr:colOff>
      <xdr:row>21</xdr:row>
      <xdr:rowOff>0</xdr:rowOff>
    </xdr:to>
    <xdr:sp macro="" textlink="">
      <xdr:nvSpPr>
        <xdr:cNvPr id="6" name="Left Brace 5">
          <a:extLst>
            <a:ext uri="{FF2B5EF4-FFF2-40B4-BE49-F238E27FC236}">
              <a16:creationId xmlns:a16="http://schemas.microsoft.com/office/drawing/2014/main" id="{2D780B94-42F0-4CBE-8925-1EC5316B3581}"/>
            </a:ext>
          </a:extLst>
        </xdr:cNvPr>
        <xdr:cNvSpPr/>
      </xdr:nvSpPr>
      <xdr:spPr bwMode="auto">
        <a:xfrm>
          <a:off x="1312718" y="2299855"/>
          <a:ext cx="98713" cy="1640031"/>
        </a:xfrm>
        <a:prstGeom prst="lef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oneCellAnchor>
    <xdr:from>
      <xdr:col>0</xdr:col>
      <xdr:colOff>225138</xdr:colOff>
      <xdr:row>4</xdr:row>
      <xdr:rowOff>17319</xdr:rowOff>
    </xdr:from>
    <xdr:ext cx="1065933" cy="248851"/>
    <xdr:sp macro="" textlink="">
      <xdr:nvSpPr>
        <xdr:cNvPr id="7" name="TextBox 6">
          <a:extLst>
            <a:ext uri="{FF2B5EF4-FFF2-40B4-BE49-F238E27FC236}">
              <a16:creationId xmlns:a16="http://schemas.microsoft.com/office/drawing/2014/main" id="{333CF183-B792-46EC-A8CC-33B0937825D4}"/>
            </a:ext>
          </a:extLst>
        </xdr:cNvPr>
        <xdr:cNvSpPr txBox="1"/>
      </xdr:nvSpPr>
      <xdr:spPr>
        <a:xfrm>
          <a:off x="225138" y="1160319"/>
          <a:ext cx="1065933"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00" b="1"/>
            <a:t>Astro Digital E.S.</a:t>
          </a:r>
        </a:p>
      </xdr:txBody>
    </xdr:sp>
    <xdr:clientData/>
  </xdr:oneCellAnchor>
  <xdr:oneCellAnchor>
    <xdr:from>
      <xdr:col>0</xdr:col>
      <xdr:colOff>588816</xdr:colOff>
      <xdr:row>7</xdr:row>
      <xdr:rowOff>121229</xdr:rowOff>
    </xdr:from>
    <xdr:ext cx="677237" cy="248851"/>
    <xdr:sp macro="" textlink="">
      <xdr:nvSpPr>
        <xdr:cNvPr id="10" name="TextBox 9">
          <a:extLst>
            <a:ext uri="{FF2B5EF4-FFF2-40B4-BE49-F238E27FC236}">
              <a16:creationId xmlns:a16="http://schemas.microsoft.com/office/drawing/2014/main" id="{1E5374E3-D4EF-49CF-9E47-C289A00E1639}"/>
            </a:ext>
          </a:extLst>
        </xdr:cNvPr>
        <xdr:cNvSpPr txBox="1"/>
      </xdr:nvSpPr>
      <xdr:spPr>
        <a:xfrm>
          <a:off x="588816" y="1757797"/>
          <a:ext cx="67723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00" b="1"/>
            <a:t>KSAT E.S.</a:t>
          </a:r>
        </a:p>
      </xdr:txBody>
    </xdr:sp>
    <xdr:clientData/>
  </xdr:oneCellAnchor>
  <xdr:oneCellAnchor>
    <xdr:from>
      <xdr:col>0</xdr:col>
      <xdr:colOff>666749</xdr:colOff>
      <xdr:row>9</xdr:row>
      <xdr:rowOff>129888</xdr:rowOff>
    </xdr:from>
    <xdr:ext cx="622799" cy="248851"/>
    <xdr:sp macro="" textlink="">
      <xdr:nvSpPr>
        <xdr:cNvPr id="11" name="TextBox 10">
          <a:extLst>
            <a:ext uri="{FF2B5EF4-FFF2-40B4-BE49-F238E27FC236}">
              <a16:creationId xmlns:a16="http://schemas.microsoft.com/office/drawing/2014/main" id="{934B4FED-CDE5-4CBF-91DE-3A21E626DEEB}"/>
            </a:ext>
          </a:extLst>
        </xdr:cNvPr>
        <xdr:cNvSpPr txBox="1"/>
      </xdr:nvSpPr>
      <xdr:spPr>
        <a:xfrm>
          <a:off x="666749" y="2095502"/>
          <a:ext cx="622799"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00" b="1"/>
            <a:t>OSK E.S.</a:t>
          </a:r>
        </a:p>
      </xdr:txBody>
    </xdr:sp>
    <xdr:clientData/>
  </xdr:oneCellAnchor>
  <xdr:oneCellAnchor>
    <xdr:from>
      <xdr:col>0</xdr:col>
      <xdr:colOff>329047</xdr:colOff>
      <xdr:row>15</xdr:row>
      <xdr:rowOff>60614</xdr:rowOff>
    </xdr:from>
    <xdr:ext cx="968086" cy="248851"/>
    <xdr:sp macro="" textlink="">
      <xdr:nvSpPr>
        <xdr:cNvPr id="12" name="TextBox 11">
          <a:extLst>
            <a:ext uri="{FF2B5EF4-FFF2-40B4-BE49-F238E27FC236}">
              <a16:creationId xmlns:a16="http://schemas.microsoft.com/office/drawing/2014/main" id="{2E0418E8-E09E-4B1E-B8CB-F685B98934C1}"/>
            </a:ext>
          </a:extLst>
        </xdr:cNvPr>
        <xdr:cNvSpPr txBox="1"/>
      </xdr:nvSpPr>
      <xdr:spPr>
        <a:xfrm>
          <a:off x="329047" y="3013364"/>
          <a:ext cx="968086"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00" b="1"/>
            <a:t>Other</a:t>
          </a:r>
          <a:r>
            <a:rPr lang="en-AU" sz="1000" b="1" baseline="0"/>
            <a:t> Test E.S.</a:t>
          </a:r>
          <a:endParaRPr lang="en-AU" sz="1000" b="1"/>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12</xdr:col>
      <xdr:colOff>419100</xdr:colOff>
      <xdr:row>50</xdr:row>
      <xdr:rowOff>133350</xdr:rowOff>
    </xdr:from>
    <xdr:to>
      <xdr:col>17</xdr:col>
      <xdr:colOff>85725</xdr:colOff>
      <xdr:row>50</xdr:row>
      <xdr:rowOff>133350</xdr:rowOff>
    </xdr:to>
    <xdr:sp macro="" textlink="">
      <xdr:nvSpPr>
        <xdr:cNvPr id="556030" name="Line 12635">
          <a:extLst>
            <a:ext uri="{FF2B5EF4-FFF2-40B4-BE49-F238E27FC236}">
              <a16:creationId xmlns:a16="http://schemas.microsoft.com/office/drawing/2014/main" id="{8D351ADC-A152-462D-8770-31E7EC64C259}"/>
            </a:ext>
          </a:extLst>
        </xdr:cNvPr>
        <xdr:cNvSpPr>
          <a:spLocks noChangeShapeType="1"/>
        </xdr:cNvSpPr>
      </xdr:nvSpPr>
      <xdr:spPr bwMode="auto">
        <a:xfrm flipH="1" flipV="1">
          <a:off x="11229975" y="8429625"/>
          <a:ext cx="2876550"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28575</xdr:colOff>
      <xdr:row>43</xdr:row>
      <xdr:rowOff>85725</xdr:rowOff>
    </xdr:from>
    <xdr:to>
      <xdr:col>1</xdr:col>
      <xdr:colOff>647700</xdr:colOff>
      <xdr:row>46</xdr:row>
      <xdr:rowOff>47625</xdr:rowOff>
    </xdr:to>
    <xdr:sp macro="" textlink="">
      <xdr:nvSpPr>
        <xdr:cNvPr id="556031" name="Isosceles Triangle 4">
          <a:extLst>
            <a:ext uri="{FF2B5EF4-FFF2-40B4-BE49-F238E27FC236}">
              <a16:creationId xmlns:a16="http://schemas.microsoft.com/office/drawing/2014/main" id="{730304C8-7E55-4FB1-9C11-5826609A090F}"/>
            </a:ext>
          </a:extLst>
        </xdr:cNvPr>
        <xdr:cNvSpPr>
          <a:spLocks noChangeArrowheads="1"/>
        </xdr:cNvSpPr>
      </xdr:nvSpPr>
      <xdr:spPr bwMode="auto">
        <a:xfrm rot="10800000">
          <a:off x="752475" y="7248525"/>
          <a:ext cx="619125" cy="447675"/>
        </a:xfrm>
        <a:prstGeom prst="triangle">
          <a:avLst>
            <a:gd name="adj" fmla="val 51537"/>
          </a:avLst>
        </a:prstGeom>
        <a:solidFill>
          <a:srgbClr val="FFFFFF"/>
        </a:solidFill>
        <a:ln w="9525" algn="ctr">
          <a:solidFill>
            <a:srgbClr val="000000"/>
          </a:solidFill>
          <a:round/>
          <a:headEnd/>
          <a:tailEnd/>
        </a:ln>
      </xdr:spPr>
    </xdr:sp>
    <xdr:clientData/>
  </xdr:twoCellAnchor>
  <xdr:twoCellAnchor>
    <xdr:from>
      <xdr:col>1</xdr:col>
      <xdr:colOff>323850</xdr:colOff>
      <xdr:row>43</xdr:row>
      <xdr:rowOff>85725</xdr:rowOff>
    </xdr:from>
    <xdr:to>
      <xdr:col>1</xdr:col>
      <xdr:colOff>323850</xdr:colOff>
      <xdr:row>50</xdr:row>
      <xdr:rowOff>57150</xdr:rowOff>
    </xdr:to>
    <xdr:cxnSp macro="">
      <xdr:nvCxnSpPr>
        <xdr:cNvPr id="570368" name="Straight Connector 6">
          <a:extLst>
            <a:ext uri="{FF2B5EF4-FFF2-40B4-BE49-F238E27FC236}">
              <a16:creationId xmlns:a16="http://schemas.microsoft.com/office/drawing/2014/main" id="{F2AE7FB3-AC3C-4B95-8E85-92A358859D5D}"/>
            </a:ext>
          </a:extLst>
        </xdr:cNvPr>
        <xdr:cNvCxnSpPr>
          <a:cxnSpLocks noChangeShapeType="1"/>
          <a:stCxn id="556031" idx="3"/>
        </xdr:cNvCxnSpPr>
      </xdr:nvCxnSpPr>
      <xdr:spPr bwMode="auto">
        <a:xfrm rot="-5400000" flipH="1" flipV="1">
          <a:off x="495300" y="7800975"/>
          <a:ext cx="1104900" cy="0"/>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314325</xdr:colOff>
      <xdr:row>50</xdr:row>
      <xdr:rowOff>57150</xdr:rowOff>
    </xdr:from>
    <xdr:to>
      <xdr:col>1</xdr:col>
      <xdr:colOff>1371600</xdr:colOff>
      <xdr:row>50</xdr:row>
      <xdr:rowOff>57150</xdr:rowOff>
    </xdr:to>
    <xdr:cxnSp macro="">
      <xdr:nvCxnSpPr>
        <xdr:cNvPr id="570369" name="Straight Connector 14">
          <a:extLst>
            <a:ext uri="{FF2B5EF4-FFF2-40B4-BE49-F238E27FC236}">
              <a16:creationId xmlns:a16="http://schemas.microsoft.com/office/drawing/2014/main" id="{2CF8EB31-2B8D-434D-8829-D06B736EB5B3}"/>
            </a:ext>
          </a:extLst>
        </xdr:cNvPr>
        <xdr:cNvCxnSpPr>
          <a:cxnSpLocks noChangeShapeType="1"/>
        </xdr:cNvCxnSpPr>
      </xdr:nvCxnSpPr>
      <xdr:spPr bwMode="auto">
        <a:xfrm>
          <a:off x="1038225" y="8353425"/>
          <a:ext cx="1057275" cy="0"/>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1362075</xdr:colOff>
      <xdr:row>48</xdr:row>
      <xdr:rowOff>133350</xdr:rowOff>
    </xdr:from>
    <xdr:to>
      <xdr:col>1</xdr:col>
      <xdr:colOff>2190750</xdr:colOff>
      <xdr:row>51</xdr:row>
      <xdr:rowOff>142875</xdr:rowOff>
    </xdr:to>
    <xdr:sp macro="" textlink="">
      <xdr:nvSpPr>
        <xdr:cNvPr id="570370" name="Rectangle 20">
          <a:extLst>
            <a:ext uri="{FF2B5EF4-FFF2-40B4-BE49-F238E27FC236}">
              <a16:creationId xmlns:a16="http://schemas.microsoft.com/office/drawing/2014/main" id="{BA0D0F46-DCBF-419C-B6D2-811DD27ADDCA}"/>
            </a:ext>
          </a:extLst>
        </xdr:cNvPr>
        <xdr:cNvSpPr>
          <a:spLocks noChangeArrowheads="1"/>
        </xdr:cNvSpPr>
      </xdr:nvSpPr>
      <xdr:spPr bwMode="auto">
        <a:xfrm>
          <a:off x="2085975" y="8105775"/>
          <a:ext cx="828675" cy="495300"/>
        </a:xfrm>
        <a:prstGeom prst="rect">
          <a:avLst/>
        </a:prstGeom>
        <a:solidFill>
          <a:srgbClr val="FFFFFF"/>
        </a:solidFill>
        <a:ln w="9525" algn="ctr">
          <a:solidFill>
            <a:srgbClr val="000000"/>
          </a:solidFill>
          <a:round/>
          <a:headEnd/>
          <a:tailEnd/>
        </a:ln>
      </xdr:spPr>
    </xdr:sp>
    <xdr:clientData/>
  </xdr:twoCellAnchor>
  <xdr:twoCellAnchor>
    <xdr:from>
      <xdr:col>17</xdr:col>
      <xdr:colOff>85725</xdr:colOff>
      <xdr:row>49</xdr:row>
      <xdr:rowOff>66675</xdr:rowOff>
    </xdr:from>
    <xdr:to>
      <xdr:col>18</xdr:col>
      <xdr:colOff>304800</xdr:colOff>
      <xdr:row>52</xdr:row>
      <xdr:rowOff>76200</xdr:rowOff>
    </xdr:to>
    <xdr:sp macro="" textlink="">
      <xdr:nvSpPr>
        <xdr:cNvPr id="570371" name="Rectangle 25">
          <a:extLst>
            <a:ext uri="{FF2B5EF4-FFF2-40B4-BE49-F238E27FC236}">
              <a16:creationId xmlns:a16="http://schemas.microsoft.com/office/drawing/2014/main" id="{F07FA5D1-7B68-4D4B-82E1-3019777DC19A}"/>
            </a:ext>
          </a:extLst>
        </xdr:cNvPr>
        <xdr:cNvSpPr>
          <a:spLocks noChangeArrowheads="1"/>
        </xdr:cNvSpPr>
      </xdr:nvSpPr>
      <xdr:spPr bwMode="auto">
        <a:xfrm>
          <a:off x="14106525" y="8201025"/>
          <a:ext cx="828675" cy="495300"/>
        </a:xfrm>
        <a:prstGeom prst="rect">
          <a:avLst/>
        </a:prstGeom>
        <a:solidFill>
          <a:srgbClr val="FFFFFF"/>
        </a:solidFill>
        <a:ln w="9525" algn="ctr">
          <a:solidFill>
            <a:srgbClr val="000000"/>
          </a:solidFill>
          <a:round/>
          <a:headEnd/>
          <a:tailEnd/>
        </a:ln>
      </xdr:spPr>
    </xdr:sp>
    <xdr:clientData/>
  </xdr:twoCellAnchor>
  <xdr:twoCellAnchor>
    <xdr:from>
      <xdr:col>19</xdr:col>
      <xdr:colOff>180975</xdr:colOff>
      <xdr:row>43</xdr:row>
      <xdr:rowOff>133350</xdr:rowOff>
    </xdr:from>
    <xdr:to>
      <xdr:col>20</xdr:col>
      <xdr:colOff>200025</xdr:colOff>
      <xdr:row>46</xdr:row>
      <xdr:rowOff>95250</xdr:rowOff>
    </xdr:to>
    <xdr:sp macro="" textlink="">
      <xdr:nvSpPr>
        <xdr:cNvPr id="570372" name="Isosceles Triangle 26">
          <a:extLst>
            <a:ext uri="{FF2B5EF4-FFF2-40B4-BE49-F238E27FC236}">
              <a16:creationId xmlns:a16="http://schemas.microsoft.com/office/drawing/2014/main" id="{79D22585-E723-4161-97BA-87D2B298E997}"/>
            </a:ext>
          </a:extLst>
        </xdr:cNvPr>
        <xdr:cNvSpPr>
          <a:spLocks noChangeArrowheads="1"/>
        </xdr:cNvSpPr>
      </xdr:nvSpPr>
      <xdr:spPr bwMode="auto">
        <a:xfrm rot="10800000">
          <a:off x="15420975" y="7296150"/>
          <a:ext cx="628650" cy="447675"/>
        </a:xfrm>
        <a:prstGeom prst="triangle">
          <a:avLst>
            <a:gd name="adj" fmla="val 51537"/>
          </a:avLst>
        </a:prstGeom>
        <a:solidFill>
          <a:srgbClr val="FFFFFF"/>
        </a:solidFill>
        <a:ln w="9525" algn="ctr">
          <a:solidFill>
            <a:srgbClr val="000000"/>
          </a:solidFill>
          <a:round/>
          <a:headEnd/>
          <a:tailEnd/>
        </a:ln>
      </xdr:spPr>
    </xdr:sp>
    <xdr:clientData/>
  </xdr:twoCellAnchor>
  <xdr:twoCellAnchor>
    <xdr:from>
      <xdr:col>19</xdr:col>
      <xdr:colOff>495300</xdr:colOff>
      <xdr:row>43</xdr:row>
      <xdr:rowOff>142875</xdr:rowOff>
    </xdr:from>
    <xdr:to>
      <xdr:col>19</xdr:col>
      <xdr:colOff>504825</xdr:colOff>
      <xdr:row>50</xdr:row>
      <xdr:rowOff>152400</xdr:rowOff>
    </xdr:to>
    <xdr:cxnSp macro="">
      <xdr:nvCxnSpPr>
        <xdr:cNvPr id="570373" name="Straight Connector 27">
          <a:extLst>
            <a:ext uri="{FF2B5EF4-FFF2-40B4-BE49-F238E27FC236}">
              <a16:creationId xmlns:a16="http://schemas.microsoft.com/office/drawing/2014/main" id="{44A129B4-D29B-4294-A068-EFAF66AAD670}"/>
            </a:ext>
          </a:extLst>
        </xdr:cNvPr>
        <xdr:cNvCxnSpPr>
          <a:cxnSpLocks noChangeShapeType="1"/>
          <a:stCxn id="570372" idx="3"/>
        </xdr:cNvCxnSpPr>
      </xdr:nvCxnSpPr>
      <xdr:spPr bwMode="auto">
        <a:xfrm rot="16200000" flipH="1">
          <a:off x="15168563" y="7872412"/>
          <a:ext cx="1143000" cy="9525"/>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18</xdr:col>
      <xdr:colOff>295275</xdr:colOff>
      <xdr:row>50</xdr:row>
      <xdr:rowOff>152400</xdr:rowOff>
    </xdr:from>
    <xdr:to>
      <xdr:col>19</xdr:col>
      <xdr:colOff>495300</xdr:colOff>
      <xdr:row>50</xdr:row>
      <xdr:rowOff>152400</xdr:rowOff>
    </xdr:to>
    <xdr:cxnSp macro="">
      <xdr:nvCxnSpPr>
        <xdr:cNvPr id="570374" name="Straight Connector 28">
          <a:extLst>
            <a:ext uri="{FF2B5EF4-FFF2-40B4-BE49-F238E27FC236}">
              <a16:creationId xmlns:a16="http://schemas.microsoft.com/office/drawing/2014/main" id="{9CC237CF-6BDD-4B3B-B90D-BDEB503ACCA0}"/>
            </a:ext>
          </a:extLst>
        </xdr:cNvPr>
        <xdr:cNvCxnSpPr>
          <a:cxnSpLocks noChangeShapeType="1"/>
        </xdr:cNvCxnSpPr>
      </xdr:nvCxnSpPr>
      <xdr:spPr bwMode="auto">
        <a:xfrm>
          <a:off x="14925675" y="8448675"/>
          <a:ext cx="809625" cy="0"/>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2190750</xdr:colOff>
      <xdr:row>50</xdr:row>
      <xdr:rowOff>57150</xdr:rowOff>
    </xdr:from>
    <xdr:to>
      <xdr:col>8</xdr:col>
      <xdr:colOff>114300</xdr:colOff>
      <xdr:row>50</xdr:row>
      <xdr:rowOff>104775</xdr:rowOff>
    </xdr:to>
    <xdr:cxnSp macro="">
      <xdr:nvCxnSpPr>
        <xdr:cNvPr id="570375" name="Straight Connector 35">
          <a:extLst>
            <a:ext uri="{FF2B5EF4-FFF2-40B4-BE49-F238E27FC236}">
              <a16:creationId xmlns:a16="http://schemas.microsoft.com/office/drawing/2014/main" id="{75655257-0B5D-4842-A6FF-9D1BC247226E}"/>
            </a:ext>
          </a:extLst>
        </xdr:cNvPr>
        <xdr:cNvCxnSpPr>
          <a:cxnSpLocks noChangeShapeType="1"/>
        </xdr:cNvCxnSpPr>
      </xdr:nvCxnSpPr>
      <xdr:spPr bwMode="auto">
        <a:xfrm>
          <a:off x="2914650" y="8353425"/>
          <a:ext cx="5676900" cy="47625"/>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161925</xdr:colOff>
      <xdr:row>48</xdr:row>
      <xdr:rowOff>76200</xdr:rowOff>
    </xdr:from>
    <xdr:to>
      <xdr:col>3</xdr:col>
      <xdr:colOff>123825</xdr:colOff>
      <xdr:row>52</xdr:row>
      <xdr:rowOff>66675</xdr:rowOff>
    </xdr:to>
    <xdr:sp macro="" textlink="">
      <xdr:nvSpPr>
        <xdr:cNvPr id="570376" name="Isosceles Triangle 16">
          <a:extLst>
            <a:ext uri="{FF2B5EF4-FFF2-40B4-BE49-F238E27FC236}">
              <a16:creationId xmlns:a16="http://schemas.microsoft.com/office/drawing/2014/main" id="{9C333CFC-6AF9-48F6-B28C-5BA6B59A09DF}"/>
            </a:ext>
          </a:extLst>
        </xdr:cNvPr>
        <xdr:cNvSpPr>
          <a:spLocks noChangeArrowheads="1"/>
        </xdr:cNvSpPr>
      </xdr:nvSpPr>
      <xdr:spPr bwMode="auto">
        <a:xfrm rot="5400000">
          <a:off x="3257550" y="8058150"/>
          <a:ext cx="638175" cy="619125"/>
        </a:xfrm>
        <a:prstGeom prst="triangle">
          <a:avLst>
            <a:gd name="adj" fmla="val 50000"/>
          </a:avLst>
        </a:prstGeom>
        <a:solidFill>
          <a:srgbClr val="FFFFFF"/>
        </a:solidFill>
        <a:ln w="9525" algn="ctr">
          <a:solidFill>
            <a:srgbClr val="000000"/>
          </a:solidFill>
          <a:round/>
          <a:headEnd/>
          <a:tailEnd/>
        </a:ln>
      </xdr:spPr>
    </xdr:sp>
    <xdr:clientData/>
  </xdr:twoCellAnchor>
  <xdr:twoCellAnchor>
    <xdr:from>
      <xdr:col>3</xdr:col>
      <xdr:colOff>409575</xdr:colOff>
      <xdr:row>49</xdr:row>
      <xdr:rowOff>9525</xdr:rowOff>
    </xdr:from>
    <xdr:to>
      <xdr:col>4</xdr:col>
      <xdr:colOff>219075</xdr:colOff>
      <xdr:row>52</xdr:row>
      <xdr:rowOff>0</xdr:rowOff>
    </xdr:to>
    <xdr:sp macro="" textlink="">
      <xdr:nvSpPr>
        <xdr:cNvPr id="570377" name="Isosceles Triangle 17">
          <a:extLst>
            <a:ext uri="{FF2B5EF4-FFF2-40B4-BE49-F238E27FC236}">
              <a16:creationId xmlns:a16="http://schemas.microsoft.com/office/drawing/2014/main" id="{C5187B33-2B5B-4860-BCC5-BCFD38A9613D}"/>
            </a:ext>
          </a:extLst>
        </xdr:cNvPr>
        <xdr:cNvSpPr>
          <a:spLocks noChangeArrowheads="1"/>
        </xdr:cNvSpPr>
      </xdr:nvSpPr>
      <xdr:spPr bwMode="auto">
        <a:xfrm rot="5400000">
          <a:off x="4195763" y="8120062"/>
          <a:ext cx="476250" cy="523875"/>
        </a:xfrm>
        <a:prstGeom prst="triangle">
          <a:avLst>
            <a:gd name="adj" fmla="val 50000"/>
          </a:avLst>
        </a:prstGeom>
        <a:solidFill>
          <a:srgbClr val="FFFFFF"/>
        </a:solidFill>
        <a:ln w="9525" algn="ctr">
          <a:solidFill>
            <a:srgbClr val="000000"/>
          </a:solidFill>
          <a:round/>
          <a:headEnd/>
          <a:tailEnd/>
        </a:ln>
      </xdr:spPr>
    </xdr:sp>
    <xdr:clientData/>
  </xdr:twoCellAnchor>
  <xdr:twoCellAnchor>
    <xdr:from>
      <xdr:col>4</xdr:col>
      <xdr:colOff>514350</xdr:colOff>
      <xdr:row>49</xdr:row>
      <xdr:rowOff>19050</xdr:rowOff>
    </xdr:from>
    <xdr:to>
      <xdr:col>5</xdr:col>
      <xdr:colOff>352425</xdr:colOff>
      <xdr:row>51</xdr:row>
      <xdr:rowOff>142875</xdr:rowOff>
    </xdr:to>
    <xdr:sp macro="" textlink="">
      <xdr:nvSpPr>
        <xdr:cNvPr id="570378" name="Oval 18">
          <a:extLst>
            <a:ext uri="{FF2B5EF4-FFF2-40B4-BE49-F238E27FC236}">
              <a16:creationId xmlns:a16="http://schemas.microsoft.com/office/drawing/2014/main" id="{32534FDA-4673-437D-9036-12B373189184}"/>
            </a:ext>
          </a:extLst>
        </xdr:cNvPr>
        <xdr:cNvSpPr>
          <a:spLocks noChangeArrowheads="1"/>
        </xdr:cNvSpPr>
      </xdr:nvSpPr>
      <xdr:spPr bwMode="auto">
        <a:xfrm>
          <a:off x="4991100" y="8153400"/>
          <a:ext cx="447675" cy="447675"/>
        </a:xfrm>
        <a:prstGeom prst="ellipse">
          <a:avLst/>
        </a:prstGeom>
        <a:solidFill>
          <a:srgbClr val="FFFFFF"/>
        </a:solidFill>
        <a:ln w="9525" algn="ctr">
          <a:solidFill>
            <a:srgbClr val="000000"/>
          </a:solidFill>
          <a:round/>
          <a:headEnd/>
          <a:tailEnd/>
        </a:ln>
      </xdr:spPr>
    </xdr:sp>
    <xdr:clientData/>
  </xdr:twoCellAnchor>
  <xdr:twoCellAnchor>
    <xdr:from>
      <xdr:col>6</xdr:col>
      <xdr:colOff>114300</xdr:colOff>
      <xdr:row>49</xdr:row>
      <xdr:rowOff>19050</xdr:rowOff>
    </xdr:from>
    <xdr:to>
      <xdr:col>6</xdr:col>
      <xdr:colOff>533400</xdr:colOff>
      <xdr:row>52</xdr:row>
      <xdr:rowOff>9525</xdr:rowOff>
    </xdr:to>
    <xdr:sp macro="" textlink="">
      <xdr:nvSpPr>
        <xdr:cNvPr id="570379" name="Isosceles Triangle 19">
          <a:extLst>
            <a:ext uri="{FF2B5EF4-FFF2-40B4-BE49-F238E27FC236}">
              <a16:creationId xmlns:a16="http://schemas.microsoft.com/office/drawing/2014/main" id="{A63644A6-D3EF-4B68-8145-7B5D4D58CE33}"/>
            </a:ext>
          </a:extLst>
        </xdr:cNvPr>
        <xdr:cNvSpPr>
          <a:spLocks noChangeArrowheads="1"/>
        </xdr:cNvSpPr>
      </xdr:nvSpPr>
      <xdr:spPr bwMode="auto">
        <a:xfrm rot="5400000">
          <a:off x="5781675" y="8181975"/>
          <a:ext cx="476250" cy="419100"/>
        </a:xfrm>
        <a:prstGeom prst="triangle">
          <a:avLst>
            <a:gd name="adj" fmla="val 50000"/>
          </a:avLst>
        </a:prstGeom>
        <a:solidFill>
          <a:srgbClr val="FFFFFF"/>
        </a:solidFill>
        <a:ln w="9525" algn="ctr">
          <a:solidFill>
            <a:srgbClr val="000000"/>
          </a:solidFill>
          <a:round/>
          <a:headEnd/>
          <a:tailEnd/>
        </a:ln>
      </xdr:spPr>
    </xdr:sp>
    <xdr:clientData/>
  </xdr:twoCellAnchor>
  <xdr:twoCellAnchor>
    <xdr:from>
      <xdr:col>7</xdr:col>
      <xdr:colOff>152400</xdr:colOff>
      <xdr:row>49</xdr:row>
      <xdr:rowOff>19050</xdr:rowOff>
    </xdr:from>
    <xdr:to>
      <xdr:col>7</xdr:col>
      <xdr:colOff>981075</xdr:colOff>
      <xdr:row>52</xdr:row>
      <xdr:rowOff>28575</xdr:rowOff>
    </xdr:to>
    <xdr:sp macro="" textlink="">
      <xdr:nvSpPr>
        <xdr:cNvPr id="570380" name="Rectangle 15">
          <a:extLst>
            <a:ext uri="{FF2B5EF4-FFF2-40B4-BE49-F238E27FC236}">
              <a16:creationId xmlns:a16="http://schemas.microsoft.com/office/drawing/2014/main" id="{34CD1BAD-BD6D-4F36-93C0-FA0FC097931B}"/>
            </a:ext>
          </a:extLst>
        </xdr:cNvPr>
        <xdr:cNvSpPr>
          <a:spLocks noChangeArrowheads="1"/>
        </xdr:cNvSpPr>
      </xdr:nvSpPr>
      <xdr:spPr bwMode="auto">
        <a:xfrm>
          <a:off x="6457950" y="8153400"/>
          <a:ext cx="828675" cy="495300"/>
        </a:xfrm>
        <a:prstGeom prst="rect">
          <a:avLst/>
        </a:prstGeom>
        <a:solidFill>
          <a:srgbClr val="FFFFFF"/>
        </a:solidFill>
        <a:ln w="9525" algn="ctr">
          <a:solidFill>
            <a:srgbClr val="000000"/>
          </a:solidFill>
          <a:round/>
          <a:headEnd/>
          <a:tailEnd/>
        </a:ln>
      </xdr:spPr>
    </xdr:sp>
    <xdr:clientData/>
  </xdr:twoCellAnchor>
  <xdr:twoCellAnchor>
    <xdr:from>
      <xdr:col>7</xdr:col>
      <xdr:colOff>1304925</xdr:colOff>
      <xdr:row>49</xdr:row>
      <xdr:rowOff>38100</xdr:rowOff>
    </xdr:from>
    <xdr:to>
      <xdr:col>7</xdr:col>
      <xdr:colOff>1724025</xdr:colOff>
      <xdr:row>52</xdr:row>
      <xdr:rowOff>28575</xdr:rowOff>
    </xdr:to>
    <xdr:sp macro="" textlink="">
      <xdr:nvSpPr>
        <xdr:cNvPr id="570381" name="Isosceles Triangle 21">
          <a:extLst>
            <a:ext uri="{FF2B5EF4-FFF2-40B4-BE49-F238E27FC236}">
              <a16:creationId xmlns:a16="http://schemas.microsoft.com/office/drawing/2014/main" id="{C1469F10-5320-4097-990A-D3618B52E0C2}"/>
            </a:ext>
          </a:extLst>
        </xdr:cNvPr>
        <xdr:cNvSpPr>
          <a:spLocks noChangeArrowheads="1"/>
        </xdr:cNvSpPr>
      </xdr:nvSpPr>
      <xdr:spPr bwMode="auto">
        <a:xfrm rot="5400000">
          <a:off x="7581900" y="8201025"/>
          <a:ext cx="476250" cy="419100"/>
        </a:xfrm>
        <a:prstGeom prst="triangle">
          <a:avLst>
            <a:gd name="adj" fmla="val 50000"/>
          </a:avLst>
        </a:prstGeom>
        <a:solidFill>
          <a:srgbClr val="FFFFFF"/>
        </a:solidFill>
        <a:ln w="9525" algn="ctr">
          <a:solidFill>
            <a:srgbClr val="000000"/>
          </a:solidFill>
          <a:round/>
          <a:headEnd/>
          <a:tailEnd/>
        </a:ln>
      </xdr:spPr>
    </xdr:sp>
    <xdr:clientData/>
  </xdr:twoCellAnchor>
  <xdr:twoCellAnchor>
    <xdr:from>
      <xdr:col>13</xdr:col>
      <xdr:colOff>209550</xdr:colOff>
      <xdr:row>49</xdr:row>
      <xdr:rowOff>66675</xdr:rowOff>
    </xdr:from>
    <xdr:to>
      <xdr:col>14</xdr:col>
      <xdr:colOff>76200</xdr:colOff>
      <xdr:row>52</xdr:row>
      <xdr:rowOff>28575</xdr:rowOff>
    </xdr:to>
    <xdr:sp macro="" textlink="">
      <xdr:nvSpPr>
        <xdr:cNvPr id="570382" name="Oval 22">
          <a:extLst>
            <a:ext uri="{FF2B5EF4-FFF2-40B4-BE49-F238E27FC236}">
              <a16:creationId xmlns:a16="http://schemas.microsoft.com/office/drawing/2014/main" id="{C11C4631-F21F-4FC9-B333-BD823DBD7901}"/>
            </a:ext>
          </a:extLst>
        </xdr:cNvPr>
        <xdr:cNvSpPr>
          <a:spLocks noChangeArrowheads="1"/>
        </xdr:cNvSpPr>
      </xdr:nvSpPr>
      <xdr:spPr bwMode="auto">
        <a:xfrm>
          <a:off x="11772900" y="8201025"/>
          <a:ext cx="476250" cy="447675"/>
        </a:xfrm>
        <a:prstGeom prst="ellipse">
          <a:avLst/>
        </a:prstGeom>
        <a:solidFill>
          <a:srgbClr val="FFFFFF"/>
        </a:solidFill>
        <a:ln w="9525" algn="ctr">
          <a:solidFill>
            <a:srgbClr val="000000"/>
          </a:solidFill>
          <a:round/>
          <a:headEnd/>
          <a:tailEnd/>
        </a:ln>
      </xdr:spPr>
    </xdr:sp>
    <xdr:clientData/>
  </xdr:twoCellAnchor>
  <xdr:twoCellAnchor>
    <xdr:from>
      <xdr:col>14</xdr:col>
      <xdr:colOff>276225</xdr:colOff>
      <xdr:row>49</xdr:row>
      <xdr:rowOff>57157</xdr:rowOff>
    </xdr:from>
    <xdr:to>
      <xdr:col>15</xdr:col>
      <xdr:colOff>152400</xdr:colOff>
      <xdr:row>52</xdr:row>
      <xdr:rowOff>47633</xdr:rowOff>
    </xdr:to>
    <xdr:sp macro="" textlink="">
      <xdr:nvSpPr>
        <xdr:cNvPr id="24" name="Isosceles Triangle 23">
          <a:extLst>
            <a:ext uri="{FF2B5EF4-FFF2-40B4-BE49-F238E27FC236}">
              <a16:creationId xmlns:a16="http://schemas.microsoft.com/office/drawing/2014/main" id="{1F7A71E6-6E5A-4BDB-8B14-F6F25A4FDB03}"/>
            </a:ext>
          </a:extLst>
        </xdr:cNvPr>
        <xdr:cNvSpPr/>
      </xdr:nvSpPr>
      <xdr:spPr bwMode="auto">
        <a:xfrm rot="5400000">
          <a:off x="8591549" y="8096258"/>
          <a:ext cx="476251" cy="419100"/>
        </a:xfrm>
        <a:prstGeom prst="triangl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  A</a:t>
          </a:r>
        </a:p>
      </xdr:txBody>
    </xdr:sp>
    <xdr:clientData/>
  </xdr:twoCellAnchor>
  <xdr:twoCellAnchor>
    <xdr:from>
      <xdr:col>15</xdr:col>
      <xdr:colOff>361950</xdr:colOff>
      <xdr:row>48</xdr:row>
      <xdr:rowOff>142875</xdr:rowOff>
    </xdr:from>
    <xdr:to>
      <xdr:col>16</xdr:col>
      <xdr:colOff>314325</xdr:colOff>
      <xdr:row>52</xdr:row>
      <xdr:rowOff>133350</xdr:rowOff>
    </xdr:to>
    <xdr:sp macro="" textlink="">
      <xdr:nvSpPr>
        <xdr:cNvPr id="570384" name="Isosceles Triangle 24">
          <a:extLst>
            <a:ext uri="{FF2B5EF4-FFF2-40B4-BE49-F238E27FC236}">
              <a16:creationId xmlns:a16="http://schemas.microsoft.com/office/drawing/2014/main" id="{2DF38684-A031-4BFD-B24C-99701185E54D}"/>
            </a:ext>
          </a:extLst>
        </xdr:cNvPr>
        <xdr:cNvSpPr>
          <a:spLocks noChangeArrowheads="1"/>
        </xdr:cNvSpPr>
      </xdr:nvSpPr>
      <xdr:spPr bwMode="auto">
        <a:xfrm rot="5400000">
          <a:off x="13120687" y="8148638"/>
          <a:ext cx="638175" cy="571500"/>
        </a:xfrm>
        <a:prstGeom prst="triangle">
          <a:avLst>
            <a:gd name="adj" fmla="val 50000"/>
          </a:avLst>
        </a:prstGeom>
        <a:solidFill>
          <a:srgbClr val="FFFFFF"/>
        </a:solidFill>
        <a:ln w="9525" algn="ctr">
          <a:solidFill>
            <a:srgbClr val="000000"/>
          </a:solidFill>
          <a:round/>
          <a:headEnd/>
          <a:tailEnd/>
        </a:ln>
      </xdr:spPr>
    </xdr:sp>
    <xdr:clientData/>
  </xdr:twoCellAnchor>
  <xdr:twoCellAnchor>
    <xdr:from>
      <xdr:col>4</xdr:col>
      <xdr:colOff>457200</xdr:colOff>
      <xdr:row>56</xdr:row>
      <xdr:rowOff>19050</xdr:rowOff>
    </xdr:from>
    <xdr:to>
      <xdr:col>5</xdr:col>
      <xdr:colOff>390525</xdr:colOff>
      <xdr:row>59</xdr:row>
      <xdr:rowOff>28575</xdr:rowOff>
    </xdr:to>
    <xdr:sp macro="" textlink="">
      <xdr:nvSpPr>
        <xdr:cNvPr id="38" name="Rectangle 37">
          <a:extLst>
            <a:ext uri="{FF2B5EF4-FFF2-40B4-BE49-F238E27FC236}">
              <a16:creationId xmlns:a16="http://schemas.microsoft.com/office/drawing/2014/main" id="{6DD57726-B46E-4353-8B63-EAA9239A7EFE}"/>
            </a:ext>
          </a:extLst>
        </xdr:cNvPr>
        <xdr:cNvSpPr/>
      </xdr:nvSpPr>
      <xdr:spPr bwMode="auto">
        <a:xfrm>
          <a:off x="4667250" y="9163050"/>
          <a:ext cx="542925" cy="49530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LO</a:t>
          </a:r>
        </a:p>
      </xdr:txBody>
    </xdr:sp>
    <xdr:clientData/>
  </xdr:twoCellAnchor>
  <xdr:twoCellAnchor>
    <xdr:from>
      <xdr:col>13</xdr:col>
      <xdr:colOff>142875</xdr:colOff>
      <xdr:row>56</xdr:row>
      <xdr:rowOff>57150</xdr:rowOff>
    </xdr:from>
    <xdr:to>
      <xdr:col>14</xdr:col>
      <xdr:colOff>104775</xdr:colOff>
      <xdr:row>59</xdr:row>
      <xdr:rowOff>66675</xdr:rowOff>
    </xdr:to>
    <xdr:sp macro="" textlink="">
      <xdr:nvSpPr>
        <xdr:cNvPr id="39" name="Rectangle 38">
          <a:extLst>
            <a:ext uri="{FF2B5EF4-FFF2-40B4-BE49-F238E27FC236}">
              <a16:creationId xmlns:a16="http://schemas.microsoft.com/office/drawing/2014/main" id="{58FDD863-CEB7-4B21-A7F8-8674FD453AE9}"/>
            </a:ext>
          </a:extLst>
        </xdr:cNvPr>
        <xdr:cNvSpPr/>
      </xdr:nvSpPr>
      <xdr:spPr bwMode="auto">
        <a:xfrm>
          <a:off x="7905750" y="9201150"/>
          <a:ext cx="542925" cy="49530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LO</a:t>
          </a:r>
        </a:p>
      </xdr:txBody>
    </xdr:sp>
    <xdr:clientData/>
  </xdr:twoCellAnchor>
  <xdr:twoCellAnchor>
    <xdr:from>
      <xdr:col>4</xdr:col>
      <xdr:colOff>581025</xdr:colOff>
      <xdr:row>49</xdr:row>
      <xdr:rowOff>85725</xdr:rowOff>
    </xdr:from>
    <xdr:to>
      <xdr:col>5</xdr:col>
      <xdr:colOff>285750</xdr:colOff>
      <xdr:row>51</xdr:row>
      <xdr:rowOff>76200</xdr:rowOff>
    </xdr:to>
    <xdr:cxnSp macro="">
      <xdr:nvCxnSpPr>
        <xdr:cNvPr id="570387" name="Straight Connector 40">
          <a:extLst>
            <a:ext uri="{FF2B5EF4-FFF2-40B4-BE49-F238E27FC236}">
              <a16:creationId xmlns:a16="http://schemas.microsoft.com/office/drawing/2014/main" id="{C00799D3-8B53-414F-86C6-DBC6D64B0241}"/>
            </a:ext>
          </a:extLst>
        </xdr:cNvPr>
        <xdr:cNvCxnSpPr>
          <a:cxnSpLocks noChangeShapeType="1"/>
          <a:stCxn id="570378" idx="3"/>
          <a:endCxn id="570378" idx="7"/>
        </xdr:cNvCxnSpPr>
      </xdr:nvCxnSpPr>
      <xdr:spPr bwMode="auto">
        <a:xfrm rot="5400000" flipH="1" flipV="1">
          <a:off x="5057775" y="8220075"/>
          <a:ext cx="314325" cy="314325"/>
        </a:xfrm>
        <a:prstGeom prst="line">
          <a:avLst/>
        </a:prstGeom>
        <a:noFill/>
        <a:ln w="1270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4</xdr:col>
      <xdr:colOff>581025</xdr:colOff>
      <xdr:row>49</xdr:row>
      <xdr:rowOff>85725</xdr:rowOff>
    </xdr:from>
    <xdr:to>
      <xdr:col>5</xdr:col>
      <xdr:colOff>285750</xdr:colOff>
      <xdr:row>51</xdr:row>
      <xdr:rowOff>76200</xdr:rowOff>
    </xdr:to>
    <xdr:cxnSp macro="">
      <xdr:nvCxnSpPr>
        <xdr:cNvPr id="570388" name="Straight Connector 42">
          <a:extLst>
            <a:ext uri="{FF2B5EF4-FFF2-40B4-BE49-F238E27FC236}">
              <a16:creationId xmlns:a16="http://schemas.microsoft.com/office/drawing/2014/main" id="{02DBFCCB-F861-4FAD-A87A-9738224C5EC1}"/>
            </a:ext>
          </a:extLst>
        </xdr:cNvPr>
        <xdr:cNvCxnSpPr>
          <a:cxnSpLocks noChangeShapeType="1"/>
          <a:stCxn id="570378" idx="1"/>
          <a:endCxn id="570378" idx="5"/>
        </xdr:cNvCxnSpPr>
      </xdr:nvCxnSpPr>
      <xdr:spPr bwMode="auto">
        <a:xfrm rot="16200000" flipH="1">
          <a:off x="5057775" y="8220075"/>
          <a:ext cx="314325" cy="314325"/>
        </a:xfrm>
        <a:prstGeom prst="line">
          <a:avLst/>
        </a:prstGeom>
        <a:noFill/>
        <a:ln w="1270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123825</xdr:colOff>
      <xdr:row>51</xdr:row>
      <xdr:rowOff>142875</xdr:rowOff>
    </xdr:from>
    <xdr:to>
      <xdr:col>5</xdr:col>
      <xdr:colOff>133350</xdr:colOff>
      <xdr:row>56</xdr:row>
      <xdr:rowOff>19050</xdr:rowOff>
    </xdr:to>
    <xdr:cxnSp macro="">
      <xdr:nvCxnSpPr>
        <xdr:cNvPr id="570389" name="Straight Connector 44">
          <a:extLst>
            <a:ext uri="{FF2B5EF4-FFF2-40B4-BE49-F238E27FC236}">
              <a16:creationId xmlns:a16="http://schemas.microsoft.com/office/drawing/2014/main" id="{5B6769FD-6F91-4860-8F0A-1108CC3BEB40}"/>
            </a:ext>
          </a:extLst>
        </xdr:cNvPr>
        <xdr:cNvCxnSpPr>
          <a:cxnSpLocks noChangeShapeType="1"/>
          <a:stCxn id="570378" idx="4"/>
          <a:endCxn id="38" idx="0"/>
        </xdr:cNvCxnSpPr>
      </xdr:nvCxnSpPr>
      <xdr:spPr bwMode="auto">
        <a:xfrm rot="5400000">
          <a:off x="4857750" y="8953500"/>
          <a:ext cx="714375" cy="9525"/>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13</xdr:col>
      <xdr:colOff>447675</xdr:colOff>
      <xdr:row>52</xdr:row>
      <xdr:rowOff>28575</xdr:rowOff>
    </xdr:from>
    <xdr:to>
      <xdr:col>13</xdr:col>
      <xdr:colOff>457200</xdr:colOff>
      <xdr:row>56</xdr:row>
      <xdr:rowOff>66675</xdr:rowOff>
    </xdr:to>
    <xdr:cxnSp macro="">
      <xdr:nvCxnSpPr>
        <xdr:cNvPr id="570390" name="Straight Connector 45">
          <a:extLst>
            <a:ext uri="{FF2B5EF4-FFF2-40B4-BE49-F238E27FC236}">
              <a16:creationId xmlns:a16="http://schemas.microsoft.com/office/drawing/2014/main" id="{1B389701-B98F-40BB-9C2E-6A7036D3713E}"/>
            </a:ext>
          </a:extLst>
        </xdr:cNvPr>
        <xdr:cNvCxnSpPr>
          <a:cxnSpLocks noChangeShapeType="1"/>
        </xdr:cNvCxnSpPr>
      </xdr:nvCxnSpPr>
      <xdr:spPr bwMode="auto">
        <a:xfrm rot="5400000">
          <a:off x="11658600" y="9001125"/>
          <a:ext cx="714375" cy="9525"/>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13</xdr:col>
      <xdr:colOff>276225</xdr:colOff>
      <xdr:row>49</xdr:row>
      <xdr:rowOff>133350</xdr:rowOff>
    </xdr:from>
    <xdr:to>
      <xdr:col>14</xdr:col>
      <xdr:colOff>9525</xdr:colOff>
      <xdr:row>51</xdr:row>
      <xdr:rowOff>123825</xdr:rowOff>
    </xdr:to>
    <xdr:cxnSp macro="">
      <xdr:nvCxnSpPr>
        <xdr:cNvPr id="570391" name="Straight Connector 47">
          <a:extLst>
            <a:ext uri="{FF2B5EF4-FFF2-40B4-BE49-F238E27FC236}">
              <a16:creationId xmlns:a16="http://schemas.microsoft.com/office/drawing/2014/main" id="{1B6C74AF-2FC6-40FF-A380-D352300DBF0D}"/>
            </a:ext>
          </a:extLst>
        </xdr:cNvPr>
        <xdr:cNvCxnSpPr>
          <a:cxnSpLocks noChangeShapeType="1"/>
          <a:stCxn id="570382" idx="1"/>
          <a:endCxn id="570382" idx="5"/>
        </xdr:cNvCxnSpPr>
      </xdr:nvCxnSpPr>
      <xdr:spPr bwMode="auto">
        <a:xfrm rot="16200000" flipH="1">
          <a:off x="11853862" y="8253413"/>
          <a:ext cx="314325" cy="3429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13</xdr:col>
      <xdr:colOff>276225</xdr:colOff>
      <xdr:row>49</xdr:row>
      <xdr:rowOff>133350</xdr:rowOff>
    </xdr:from>
    <xdr:to>
      <xdr:col>14</xdr:col>
      <xdr:colOff>9525</xdr:colOff>
      <xdr:row>51</xdr:row>
      <xdr:rowOff>123825</xdr:rowOff>
    </xdr:to>
    <xdr:cxnSp macro="">
      <xdr:nvCxnSpPr>
        <xdr:cNvPr id="570392" name="Straight Connector 49">
          <a:extLst>
            <a:ext uri="{FF2B5EF4-FFF2-40B4-BE49-F238E27FC236}">
              <a16:creationId xmlns:a16="http://schemas.microsoft.com/office/drawing/2014/main" id="{E3AA2828-83D3-41EB-B9B6-94D566CD9C8E}"/>
            </a:ext>
          </a:extLst>
        </xdr:cNvPr>
        <xdr:cNvCxnSpPr>
          <a:cxnSpLocks noChangeShapeType="1"/>
          <a:stCxn id="570382" idx="7"/>
          <a:endCxn id="570382" idx="3"/>
        </xdr:cNvCxnSpPr>
      </xdr:nvCxnSpPr>
      <xdr:spPr bwMode="auto">
        <a:xfrm rot="-5400000" flipH="1" flipV="1">
          <a:off x="11853862" y="8253413"/>
          <a:ext cx="314325" cy="3429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1704975</xdr:colOff>
      <xdr:row>49</xdr:row>
      <xdr:rowOff>19050</xdr:rowOff>
    </xdr:from>
    <xdr:to>
      <xdr:col>1</xdr:col>
      <xdr:colOff>1866900</xdr:colOff>
      <xdr:row>50</xdr:row>
      <xdr:rowOff>9525</xdr:rowOff>
    </xdr:to>
    <xdr:cxnSp macro="">
      <xdr:nvCxnSpPr>
        <xdr:cNvPr id="570393" name="Curved Connector 52">
          <a:extLst>
            <a:ext uri="{FF2B5EF4-FFF2-40B4-BE49-F238E27FC236}">
              <a16:creationId xmlns:a16="http://schemas.microsoft.com/office/drawing/2014/main" id="{C3D2AC79-749C-419E-8F3F-35D372B29C86}"/>
            </a:ext>
          </a:extLst>
        </xdr:cNvPr>
        <xdr:cNvCxnSpPr>
          <a:cxnSpLocks noChangeShapeType="1"/>
        </xdr:cNvCxnSpPr>
      </xdr:nvCxnSpPr>
      <xdr:spPr bwMode="auto">
        <a:xfrm rot="8280000">
          <a:off x="2428875" y="8153400"/>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1695450</xdr:colOff>
      <xdr:row>49</xdr:row>
      <xdr:rowOff>152400</xdr:rowOff>
    </xdr:from>
    <xdr:to>
      <xdr:col>1</xdr:col>
      <xdr:colOff>1857375</xdr:colOff>
      <xdr:row>50</xdr:row>
      <xdr:rowOff>142875</xdr:rowOff>
    </xdr:to>
    <xdr:cxnSp macro="">
      <xdr:nvCxnSpPr>
        <xdr:cNvPr id="570394" name="Curved Connector 53">
          <a:extLst>
            <a:ext uri="{FF2B5EF4-FFF2-40B4-BE49-F238E27FC236}">
              <a16:creationId xmlns:a16="http://schemas.microsoft.com/office/drawing/2014/main" id="{E57AE934-5F21-426B-A808-55131D6683DF}"/>
            </a:ext>
          </a:extLst>
        </xdr:cNvPr>
        <xdr:cNvCxnSpPr>
          <a:cxnSpLocks noChangeShapeType="1"/>
        </xdr:cNvCxnSpPr>
      </xdr:nvCxnSpPr>
      <xdr:spPr bwMode="auto">
        <a:xfrm rot="8280000">
          <a:off x="2419350" y="8286750"/>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1704975</xdr:colOff>
      <xdr:row>50</xdr:row>
      <xdr:rowOff>114300</xdr:rowOff>
    </xdr:from>
    <xdr:to>
      <xdr:col>1</xdr:col>
      <xdr:colOff>1866900</xdr:colOff>
      <xdr:row>51</xdr:row>
      <xdr:rowOff>104775</xdr:rowOff>
    </xdr:to>
    <xdr:cxnSp macro="">
      <xdr:nvCxnSpPr>
        <xdr:cNvPr id="570395" name="Curved Connector 54">
          <a:extLst>
            <a:ext uri="{FF2B5EF4-FFF2-40B4-BE49-F238E27FC236}">
              <a16:creationId xmlns:a16="http://schemas.microsoft.com/office/drawing/2014/main" id="{5171E64C-959A-42EC-928B-2361EE9F1567}"/>
            </a:ext>
          </a:extLst>
        </xdr:cNvPr>
        <xdr:cNvCxnSpPr>
          <a:cxnSpLocks noChangeShapeType="1"/>
        </xdr:cNvCxnSpPr>
      </xdr:nvCxnSpPr>
      <xdr:spPr bwMode="auto">
        <a:xfrm rot="8280000">
          <a:off x="2428875" y="841057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400050</xdr:colOff>
      <xdr:row>49</xdr:row>
      <xdr:rowOff>104775</xdr:rowOff>
    </xdr:from>
    <xdr:to>
      <xdr:col>17</xdr:col>
      <xdr:colOff>561975</xdr:colOff>
      <xdr:row>50</xdr:row>
      <xdr:rowOff>95250</xdr:rowOff>
    </xdr:to>
    <xdr:cxnSp macro="">
      <xdr:nvCxnSpPr>
        <xdr:cNvPr id="570396" name="Curved Connector 55">
          <a:extLst>
            <a:ext uri="{FF2B5EF4-FFF2-40B4-BE49-F238E27FC236}">
              <a16:creationId xmlns:a16="http://schemas.microsoft.com/office/drawing/2014/main" id="{64A07653-824D-466C-9A67-99FF8941EBB1}"/>
            </a:ext>
          </a:extLst>
        </xdr:cNvPr>
        <xdr:cNvCxnSpPr>
          <a:cxnSpLocks noChangeShapeType="1"/>
        </xdr:cNvCxnSpPr>
      </xdr:nvCxnSpPr>
      <xdr:spPr bwMode="auto">
        <a:xfrm rot="8280000">
          <a:off x="14420850" y="823912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400050</xdr:colOff>
      <xdr:row>50</xdr:row>
      <xdr:rowOff>76200</xdr:rowOff>
    </xdr:from>
    <xdr:to>
      <xdr:col>17</xdr:col>
      <xdr:colOff>561975</xdr:colOff>
      <xdr:row>51</xdr:row>
      <xdr:rowOff>66675</xdr:rowOff>
    </xdr:to>
    <xdr:cxnSp macro="">
      <xdr:nvCxnSpPr>
        <xdr:cNvPr id="570397" name="Curved Connector 56">
          <a:extLst>
            <a:ext uri="{FF2B5EF4-FFF2-40B4-BE49-F238E27FC236}">
              <a16:creationId xmlns:a16="http://schemas.microsoft.com/office/drawing/2014/main" id="{5E66E212-E562-4169-AC71-057F55CED096}"/>
            </a:ext>
          </a:extLst>
        </xdr:cNvPr>
        <xdr:cNvCxnSpPr>
          <a:cxnSpLocks noChangeShapeType="1"/>
        </xdr:cNvCxnSpPr>
      </xdr:nvCxnSpPr>
      <xdr:spPr bwMode="auto">
        <a:xfrm rot="8280000">
          <a:off x="14420850" y="837247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390525</xdr:colOff>
      <xdr:row>51</xdr:row>
      <xdr:rowOff>38100</xdr:rowOff>
    </xdr:from>
    <xdr:to>
      <xdr:col>17</xdr:col>
      <xdr:colOff>552450</xdr:colOff>
      <xdr:row>52</xdr:row>
      <xdr:rowOff>28575</xdr:rowOff>
    </xdr:to>
    <xdr:cxnSp macro="">
      <xdr:nvCxnSpPr>
        <xdr:cNvPr id="570398" name="Curved Connector 57">
          <a:extLst>
            <a:ext uri="{FF2B5EF4-FFF2-40B4-BE49-F238E27FC236}">
              <a16:creationId xmlns:a16="http://schemas.microsoft.com/office/drawing/2014/main" id="{5882FA7A-2A21-4BB5-9DF3-490CCF3BA1BB}"/>
            </a:ext>
          </a:extLst>
        </xdr:cNvPr>
        <xdr:cNvCxnSpPr>
          <a:cxnSpLocks noChangeShapeType="1"/>
        </xdr:cNvCxnSpPr>
      </xdr:nvCxnSpPr>
      <xdr:spPr bwMode="auto">
        <a:xfrm rot="8280000">
          <a:off x="14411325" y="8496300"/>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457200</xdr:colOff>
      <xdr:row>49</xdr:row>
      <xdr:rowOff>123825</xdr:rowOff>
    </xdr:from>
    <xdr:to>
      <xdr:col>17</xdr:col>
      <xdr:colOff>514350</xdr:colOff>
      <xdr:row>50</xdr:row>
      <xdr:rowOff>66675</xdr:rowOff>
    </xdr:to>
    <xdr:cxnSp macro="">
      <xdr:nvCxnSpPr>
        <xdr:cNvPr id="570399" name="Straight Connector 60">
          <a:extLst>
            <a:ext uri="{FF2B5EF4-FFF2-40B4-BE49-F238E27FC236}">
              <a16:creationId xmlns:a16="http://schemas.microsoft.com/office/drawing/2014/main" id="{D5B27712-90C6-4D15-8045-52EB7F3ABAD7}"/>
            </a:ext>
          </a:extLst>
        </xdr:cNvPr>
        <xdr:cNvCxnSpPr>
          <a:cxnSpLocks noChangeShapeType="1"/>
        </xdr:cNvCxnSpPr>
      </xdr:nvCxnSpPr>
      <xdr:spPr bwMode="auto">
        <a:xfrm rot="5400000">
          <a:off x="14454187" y="8281988"/>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447675</xdr:colOff>
      <xdr:row>51</xdr:row>
      <xdr:rowOff>66675</xdr:rowOff>
    </xdr:from>
    <xdr:to>
      <xdr:col>17</xdr:col>
      <xdr:colOff>504825</xdr:colOff>
      <xdr:row>52</xdr:row>
      <xdr:rowOff>9525</xdr:rowOff>
    </xdr:to>
    <xdr:cxnSp macro="">
      <xdr:nvCxnSpPr>
        <xdr:cNvPr id="570400" name="Straight Connector 61">
          <a:extLst>
            <a:ext uri="{FF2B5EF4-FFF2-40B4-BE49-F238E27FC236}">
              <a16:creationId xmlns:a16="http://schemas.microsoft.com/office/drawing/2014/main" id="{DAEDACF8-2FBB-41EE-A301-146DE84E3217}"/>
            </a:ext>
          </a:extLst>
        </xdr:cNvPr>
        <xdr:cNvCxnSpPr>
          <a:cxnSpLocks noChangeShapeType="1"/>
        </xdr:cNvCxnSpPr>
      </xdr:nvCxnSpPr>
      <xdr:spPr bwMode="auto">
        <a:xfrm rot="5400000">
          <a:off x="14444662" y="8548688"/>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514350</xdr:colOff>
      <xdr:row>49</xdr:row>
      <xdr:rowOff>104775</xdr:rowOff>
    </xdr:from>
    <xdr:to>
      <xdr:col>7</xdr:col>
      <xdr:colOff>676275</xdr:colOff>
      <xdr:row>50</xdr:row>
      <xdr:rowOff>95250</xdr:rowOff>
    </xdr:to>
    <xdr:cxnSp macro="">
      <xdr:nvCxnSpPr>
        <xdr:cNvPr id="570401" name="Curved Connector 62">
          <a:extLst>
            <a:ext uri="{FF2B5EF4-FFF2-40B4-BE49-F238E27FC236}">
              <a16:creationId xmlns:a16="http://schemas.microsoft.com/office/drawing/2014/main" id="{A4365F8A-D739-41B3-8176-C2E2958F320E}"/>
            </a:ext>
          </a:extLst>
        </xdr:cNvPr>
        <xdr:cNvCxnSpPr>
          <a:cxnSpLocks noChangeShapeType="1"/>
        </xdr:cNvCxnSpPr>
      </xdr:nvCxnSpPr>
      <xdr:spPr bwMode="auto">
        <a:xfrm rot="8280000">
          <a:off x="6819900" y="823912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514350</xdr:colOff>
      <xdr:row>50</xdr:row>
      <xdr:rowOff>38100</xdr:rowOff>
    </xdr:from>
    <xdr:to>
      <xdr:col>7</xdr:col>
      <xdr:colOff>676275</xdr:colOff>
      <xdr:row>51</xdr:row>
      <xdr:rowOff>28575</xdr:rowOff>
    </xdr:to>
    <xdr:cxnSp macro="">
      <xdr:nvCxnSpPr>
        <xdr:cNvPr id="570402" name="Curved Connector 63">
          <a:extLst>
            <a:ext uri="{FF2B5EF4-FFF2-40B4-BE49-F238E27FC236}">
              <a16:creationId xmlns:a16="http://schemas.microsoft.com/office/drawing/2014/main" id="{95B10E54-D756-4453-A5C7-B835878C844E}"/>
            </a:ext>
          </a:extLst>
        </xdr:cNvPr>
        <xdr:cNvCxnSpPr>
          <a:cxnSpLocks noChangeShapeType="1"/>
        </xdr:cNvCxnSpPr>
      </xdr:nvCxnSpPr>
      <xdr:spPr bwMode="auto">
        <a:xfrm rot="8280000">
          <a:off x="6819900" y="833437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504825</xdr:colOff>
      <xdr:row>50</xdr:row>
      <xdr:rowOff>133350</xdr:rowOff>
    </xdr:from>
    <xdr:to>
      <xdr:col>7</xdr:col>
      <xdr:colOff>666750</xdr:colOff>
      <xdr:row>51</xdr:row>
      <xdr:rowOff>123825</xdr:rowOff>
    </xdr:to>
    <xdr:cxnSp macro="">
      <xdr:nvCxnSpPr>
        <xdr:cNvPr id="570403" name="Curved Connector 64">
          <a:extLst>
            <a:ext uri="{FF2B5EF4-FFF2-40B4-BE49-F238E27FC236}">
              <a16:creationId xmlns:a16="http://schemas.microsoft.com/office/drawing/2014/main" id="{03D28240-135A-4CBB-A7A5-0847685569BB}"/>
            </a:ext>
          </a:extLst>
        </xdr:cNvPr>
        <xdr:cNvCxnSpPr>
          <a:cxnSpLocks noChangeShapeType="1"/>
        </xdr:cNvCxnSpPr>
      </xdr:nvCxnSpPr>
      <xdr:spPr bwMode="auto">
        <a:xfrm rot="8280000">
          <a:off x="6810375" y="842962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1743075</xdr:colOff>
      <xdr:row>49</xdr:row>
      <xdr:rowOff>38100</xdr:rowOff>
    </xdr:from>
    <xdr:to>
      <xdr:col>1</xdr:col>
      <xdr:colOff>1800225</xdr:colOff>
      <xdr:row>49</xdr:row>
      <xdr:rowOff>142875</xdr:rowOff>
    </xdr:to>
    <xdr:cxnSp macro="">
      <xdr:nvCxnSpPr>
        <xdr:cNvPr id="570404" name="Straight Connector 65">
          <a:extLst>
            <a:ext uri="{FF2B5EF4-FFF2-40B4-BE49-F238E27FC236}">
              <a16:creationId xmlns:a16="http://schemas.microsoft.com/office/drawing/2014/main" id="{2E3DC0F6-D28A-493D-942E-3A79D5B2CAB0}"/>
            </a:ext>
          </a:extLst>
        </xdr:cNvPr>
        <xdr:cNvCxnSpPr>
          <a:cxnSpLocks noChangeShapeType="1"/>
        </xdr:cNvCxnSpPr>
      </xdr:nvCxnSpPr>
      <xdr:spPr bwMode="auto">
        <a:xfrm rot="5400000">
          <a:off x="2443162" y="8196263"/>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1733550</xdr:colOff>
      <xdr:row>50</xdr:row>
      <xdr:rowOff>133350</xdr:rowOff>
    </xdr:from>
    <xdr:to>
      <xdr:col>1</xdr:col>
      <xdr:colOff>1790700</xdr:colOff>
      <xdr:row>51</xdr:row>
      <xdr:rowOff>76200</xdr:rowOff>
    </xdr:to>
    <xdr:cxnSp macro="">
      <xdr:nvCxnSpPr>
        <xdr:cNvPr id="570405" name="Straight Connector 66">
          <a:extLst>
            <a:ext uri="{FF2B5EF4-FFF2-40B4-BE49-F238E27FC236}">
              <a16:creationId xmlns:a16="http://schemas.microsoft.com/office/drawing/2014/main" id="{CDD30B30-758A-484F-AEEF-75EEF3585D4B}"/>
            </a:ext>
          </a:extLst>
        </xdr:cNvPr>
        <xdr:cNvCxnSpPr>
          <a:cxnSpLocks noChangeShapeType="1"/>
        </xdr:cNvCxnSpPr>
      </xdr:nvCxnSpPr>
      <xdr:spPr bwMode="auto">
        <a:xfrm rot="5400000">
          <a:off x="2433637" y="8453438"/>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542925</xdr:colOff>
      <xdr:row>51</xdr:row>
      <xdr:rowOff>0</xdr:rowOff>
    </xdr:from>
    <xdr:to>
      <xdr:col>7</xdr:col>
      <xdr:colOff>600075</xdr:colOff>
      <xdr:row>51</xdr:row>
      <xdr:rowOff>104775</xdr:rowOff>
    </xdr:to>
    <xdr:cxnSp macro="">
      <xdr:nvCxnSpPr>
        <xdr:cNvPr id="570406" name="Straight Connector 67">
          <a:extLst>
            <a:ext uri="{FF2B5EF4-FFF2-40B4-BE49-F238E27FC236}">
              <a16:creationId xmlns:a16="http://schemas.microsoft.com/office/drawing/2014/main" id="{9931C7C9-CD76-47AB-B367-E4538DD86E94}"/>
            </a:ext>
          </a:extLst>
        </xdr:cNvPr>
        <xdr:cNvCxnSpPr>
          <a:cxnSpLocks noChangeShapeType="1"/>
        </xdr:cNvCxnSpPr>
      </xdr:nvCxnSpPr>
      <xdr:spPr bwMode="auto">
        <a:xfrm rot="5400000">
          <a:off x="6824662" y="8482013"/>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581025</xdr:colOff>
      <xdr:row>49</xdr:row>
      <xdr:rowOff>123825</xdr:rowOff>
    </xdr:from>
    <xdr:to>
      <xdr:col>7</xdr:col>
      <xdr:colOff>638175</xdr:colOff>
      <xdr:row>50</xdr:row>
      <xdr:rowOff>66675</xdr:rowOff>
    </xdr:to>
    <xdr:cxnSp macro="">
      <xdr:nvCxnSpPr>
        <xdr:cNvPr id="570407" name="Straight Connector 68">
          <a:extLst>
            <a:ext uri="{FF2B5EF4-FFF2-40B4-BE49-F238E27FC236}">
              <a16:creationId xmlns:a16="http://schemas.microsoft.com/office/drawing/2014/main" id="{60ECAA2A-1995-4F19-BA80-2890952F3892}"/>
            </a:ext>
          </a:extLst>
        </xdr:cNvPr>
        <xdr:cNvCxnSpPr>
          <a:cxnSpLocks noChangeShapeType="1"/>
        </xdr:cNvCxnSpPr>
      </xdr:nvCxnSpPr>
      <xdr:spPr bwMode="auto">
        <a:xfrm rot="5400000">
          <a:off x="6862762" y="8281988"/>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oneCellAnchor>
    <xdr:from>
      <xdr:col>2</xdr:col>
      <xdr:colOff>152400</xdr:colOff>
      <xdr:row>49</xdr:row>
      <xdr:rowOff>95250</xdr:rowOff>
    </xdr:from>
    <xdr:ext cx="184731" cy="264560"/>
    <xdr:sp macro="" textlink="">
      <xdr:nvSpPr>
        <xdr:cNvPr id="70" name="TextBox 69">
          <a:extLst>
            <a:ext uri="{FF2B5EF4-FFF2-40B4-BE49-F238E27FC236}">
              <a16:creationId xmlns:a16="http://schemas.microsoft.com/office/drawing/2014/main" id="{B31CA67A-D58D-4FB6-AE92-C84D6B569759}"/>
            </a:ext>
          </a:extLst>
        </xdr:cNvPr>
        <xdr:cNvSpPr txBox="1"/>
      </xdr:nvSpPr>
      <xdr:spPr>
        <a:xfrm>
          <a:off x="3257550" y="8229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457200</xdr:colOff>
      <xdr:row>49</xdr:row>
      <xdr:rowOff>133350</xdr:rowOff>
    </xdr:from>
    <xdr:ext cx="275802" cy="283458"/>
    <xdr:sp macro="" textlink="">
      <xdr:nvSpPr>
        <xdr:cNvPr id="71" name="TextBox 70">
          <a:extLst>
            <a:ext uri="{FF2B5EF4-FFF2-40B4-BE49-F238E27FC236}">
              <a16:creationId xmlns:a16="http://schemas.microsoft.com/office/drawing/2014/main" id="{C8E20626-D3EB-4366-ACB8-59968B63C3C0}"/>
            </a:ext>
          </a:extLst>
        </xdr:cNvPr>
        <xdr:cNvSpPr txBox="1"/>
      </xdr:nvSpPr>
      <xdr:spPr>
        <a:xfrm>
          <a:off x="4238625" y="8534400"/>
          <a:ext cx="26629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A</a:t>
          </a:r>
        </a:p>
      </xdr:txBody>
    </xdr:sp>
    <xdr:clientData/>
  </xdr:oneCellAnchor>
  <xdr:oneCellAnchor>
    <xdr:from>
      <xdr:col>6</xdr:col>
      <xdr:colOff>180975</xdr:colOff>
      <xdr:row>49</xdr:row>
      <xdr:rowOff>123825</xdr:rowOff>
    </xdr:from>
    <xdr:ext cx="275802" cy="283458"/>
    <xdr:sp macro="" textlink="">
      <xdr:nvSpPr>
        <xdr:cNvPr id="72" name="TextBox 71">
          <a:extLst>
            <a:ext uri="{FF2B5EF4-FFF2-40B4-BE49-F238E27FC236}">
              <a16:creationId xmlns:a16="http://schemas.microsoft.com/office/drawing/2014/main" id="{D1556186-0509-4265-BC2E-9126279B5B93}"/>
            </a:ext>
          </a:extLst>
        </xdr:cNvPr>
        <xdr:cNvSpPr txBox="1"/>
      </xdr:nvSpPr>
      <xdr:spPr>
        <a:xfrm>
          <a:off x="5895975" y="8524875"/>
          <a:ext cx="26629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A</a:t>
          </a:r>
        </a:p>
      </xdr:txBody>
    </xdr:sp>
    <xdr:clientData/>
  </xdr:oneCellAnchor>
  <xdr:oneCellAnchor>
    <xdr:from>
      <xdr:col>7</xdr:col>
      <xdr:colOff>1362075</xdr:colOff>
      <xdr:row>49</xdr:row>
      <xdr:rowOff>133350</xdr:rowOff>
    </xdr:from>
    <xdr:ext cx="275802" cy="283458"/>
    <xdr:sp macro="" textlink="">
      <xdr:nvSpPr>
        <xdr:cNvPr id="73" name="TextBox 72">
          <a:extLst>
            <a:ext uri="{FF2B5EF4-FFF2-40B4-BE49-F238E27FC236}">
              <a16:creationId xmlns:a16="http://schemas.microsoft.com/office/drawing/2014/main" id="{D4969B9E-68E9-4789-8042-7FE34DD140BC}"/>
            </a:ext>
          </a:extLst>
        </xdr:cNvPr>
        <xdr:cNvSpPr txBox="1"/>
      </xdr:nvSpPr>
      <xdr:spPr>
        <a:xfrm>
          <a:off x="7686675" y="8534400"/>
          <a:ext cx="26629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A</a:t>
          </a:r>
        </a:p>
      </xdr:txBody>
    </xdr:sp>
    <xdr:clientData/>
  </xdr:oneCellAnchor>
  <xdr:oneCellAnchor>
    <xdr:from>
      <xdr:col>15</xdr:col>
      <xdr:colOff>352425</xdr:colOff>
      <xdr:row>50</xdr:row>
      <xdr:rowOff>0</xdr:rowOff>
    </xdr:from>
    <xdr:ext cx="436597" cy="283458"/>
    <xdr:sp macro="" textlink="">
      <xdr:nvSpPr>
        <xdr:cNvPr id="74" name="TextBox 73">
          <a:extLst>
            <a:ext uri="{FF2B5EF4-FFF2-40B4-BE49-F238E27FC236}">
              <a16:creationId xmlns:a16="http://schemas.microsoft.com/office/drawing/2014/main" id="{48A86E35-561F-4039-B50C-DAE1555B7B6B}"/>
            </a:ext>
          </a:extLst>
        </xdr:cNvPr>
        <xdr:cNvSpPr txBox="1"/>
      </xdr:nvSpPr>
      <xdr:spPr>
        <a:xfrm>
          <a:off x="13011150" y="8562975"/>
          <a:ext cx="427105"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HPA</a:t>
          </a:r>
        </a:p>
      </xdr:txBody>
    </xdr:sp>
    <xdr:clientData/>
  </xdr:oneCellAnchor>
  <xdr:oneCellAnchor>
    <xdr:from>
      <xdr:col>1</xdr:col>
      <xdr:colOff>1409700</xdr:colOff>
      <xdr:row>47</xdr:row>
      <xdr:rowOff>28575</xdr:rowOff>
    </xdr:from>
    <xdr:ext cx="777512" cy="283458"/>
    <xdr:sp macro="" textlink="">
      <xdr:nvSpPr>
        <xdr:cNvPr id="75" name="TextBox 74">
          <a:extLst>
            <a:ext uri="{FF2B5EF4-FFF2-40B4-BE49-F238E27FC236}">
              <a16:creationId xmlns:a16="http://schemas.microsoft.com/office/drawing/2014/main" id="{3E728461-BCD7-45C9-BEB7-EB0EDC158C0F}"/>
            </a:ext>
          </a:extLst>
        </xdr:cNvPr>
        <xdr:cNvSpPr txBox="1"/>
      </xdr:nvSpPr>
      <xdr:spPr>
        <a:xfrm>
          <a:off x="2133600" y="8105775"/>
          <a:ext cx="7680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 Input BPF</a:t>
          </a:r>
        </a:p>
      </xdr:txBody>
    </xdr:sp>
    <xdr:clientData/>
  </xdr:oneCellAnchor>
  <xdr:oneCellAnchor>
    <xdr:from>
      <xdr:col>17</xdr:col>
      <xdr:colOff>66675</xdr:colOff>
      <xdr:row>47</xdr:row>
      <xdr:rowOff>133350</xdr:rowOff>
    </xdr:from>
    <xdr:ext cx="951622" cy="283458"/>
    <xdr:sp macro="" textlink="">
      <xdr:nvSpPr>
        <xdr:cNvPr id="97" name="TextBox 96">
          <a:extLst>
            <a:ext uri="{FF2B5EF4-FFF2-40B4-BE49-F238E27FC236}">
              <a16:creationId xmlns:a16="http://schemas.microsoft.com/office/drawing/2014/main" id="{F8F0E3C6-E577-4147-A447-89572FD33713}"/>
            </a:ext>
          </a:extLst>
        </xdr:cNvPr>
        <xdr:cNvSpPr txBox="1"/>
      </xdr:nvSpPr>
      <xdr:spPr>
        <a:xfrm>
          <a:off x="13954125" y="8210550"/>
          <a:ext cx="923073"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Output Filter</a:t>
          </a:r>
        </a:p>
      </xdr:txBody>
    </xdr:sp>
    <xdr:clientData/>
  </xdr:oneCellAnchor>
  <xdr:oneCellAnchor>
    <xdr:from>
      <xdr:col>7</xdr:col>
      <xdr:colOff>238125</xdr:colOff>
      <xdr:row>47</xdr:row>
      <xdr:rowOff>114300</xdr:rowOff>
    </xdr:from>
    <xdr:ext cx="823562" cy="283458"/>
    <xdr:sp macro="" textlink="">
      <xdr:nvSpPr>
        <xdr:cNvPr id="98" name="TextBox 97">
          <a:extLst>
            <a:ext uri="{FF2B5EF4-FFF2-40B4-BE49-F238E27FC236}">
              <a16:creationId xmlns:a16="http://schemas.microsoft.com/office/drawing/2014/main" id="{FC421129-7DA9-4D30-A85B-61A0352491FE}"/>
            </a:ext>
          </a:extLst>
        </xdr:cNvPr>
        <xdr:cNvSpPr txBox="1"/>
      </xdr:nvSpPr>
      <xdr:spPr>
        <a:xfrm>
          <a:off x="6543675" y="8191500"/>
          <a:ext cx="794833"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pPr algn="l" rtl="0">
            <a:defRPr sz="1000"/>
          </a:pPr>
          <a:r>
            <a:rPr lang="en-AU" sz="1100" b="0" i="0" u="none" strike="noStrike" baseline="0">
              <a:solidFill>
                <a:srgbClr val="000000"/>
              </a:solidFill>
              <a:latin typeface="Calibri"/>
              <a:cs typeface="Calibri"/>
            </a:rPr>
            <a:t>RX IF Filter</a:t>
          </a:r>
          <a:endParaRPr lang="en-AU"/>
        </a:p>
      </xdr:txBody>
    </xdr:sp>
    <xdr:clientData/>
  </xdr:oneCellAnchor>
  <xdr:oneCellAnchor>
    <xdr:from>
      <xdr:col>1</xdr:col>
      <xdr:colOff>0</xdr:colOff>
      <xdr:row>36</xdr:row>
      <xdr:rowOff>38100</xdr:rowOff>
    </xdr:from>
    <xdr:ext cx="256160" cy="283458"/>
    <xdr:sp macro="" textlink="">
      <xdr:nvSpPr>
        <xdr:cNvPr id="100" name="TextBox 99">
          <a:extLst>
            <a:ext uri="{FF2B5EF4-FFF2-40B4-BE49-F238E27FC236}">
              <a16:creationId xmlns:a16="http://schemas.microsoft.com/office/drawing/2014/main" id="{EE610723-5DC2-493B-B25A-9343E27B71EA}"/>
            </a:ext>
          </a:extLst>
        </xdr:cNvPr>
        <xdr:cNvSpPr txBox="1"/>
      </xdr:nvSpPr>
      <xdr:spPr>
        <a:xfrm>
          <a:off x="752475" y="6334125"/>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2</a:t>
          </a:r>
        </a:p>
      </xdr:txBody>
    </xdr:sp>
    <xdr:clientData/>
  </xdr:oneCellAnchor>
  <xdr:oneCellAnchor>
    <xdr:from>
      <xdr:col>1</xdr:col>
      <xdr:colOff>714375</xdr:colOff>
      <xdr:row>43</xdr:row>
      <xdr:rowOff>76200</xdr:rowOff>
    </xdr:from>
    <xdr:ext cx="256160" cy="283458"/>
    <xdr:sp macro="" textlink="">
      <xdr:nvSpPr>
        <xdr:cNvPr id="101" name="TextBox 100">
          <a:extLst>
            <a:ext uri="{FF2B5EF4-FFF2-40B4-BE49-F238E27FC236}">
              <a16:creationId xmlns:a16="http://schemas.microsoft.com/office/drawing/2014/main" id="{4366B544-81CF-47F5-B320-D6760AA19999}"/>
            </a:ext>
          </a:extLst>
        </xdr:cNvPr>
        <xdr:cNvSpPr txBox="1"/>
      </xdr:nvSpPr>
      <xdr:spPr>
        <a:xfrm>
          <a:off x="1466850" y="750570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3</a:t>
          </a:r>
        </a:p>
      </xdr:txBody>
    </xdr:sp>
    <xdr:clientData/>
  </xdr:oneCellAnchor>
  <xdr:oneCellAnchor>
    <xdr:from>
      <xdr:col>1</xdr:col>
      <xdr:colOff>695325</xdr:colOff>
      <xdr:row>50</xdr:row>
      <xdr:rowOff>104775</xdr:rowOff>
    </xdr:from>
    <xdr:ext cx="256160" cy="283458"/>
    <xdr:sp macro="" textlink="">
      <xdr:nvSpPr>
        <xdr:cNvPr id="102" name="TextBox 101">
          <a:extLst>
            <a:ext uri="{FF2B5EF4-FFF2-40B4-BE49-F238E27FC236}">
              <a16:creationId xmlns:a16="http://schemas.microsoft.com/office/drawing/2014/main" id="{D96868C2-29FD-44AD-9AC4-AE73DF6A5D89}"/>
            </a:ext>
          </a:extLst>
        </xdr:cNvPr>
        <xdr:cNvSpPr txBox="1"/>
      </xdr:nvSpPr>
      <xdr:spPr>
        <a:xfrm>
          <a:off x="1447800" y="866775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4</a:t>
          </a:r>
        </a:p>
      </xdr:txBody>
    </xdr:sp>
    <xdr:clientData/>
  </xdr:oneCellAnchor>
  <xdr:oneCellAnchor>
    <xdr:from>
      <xdr:col>1</xdr:col>
      <xdr:colOff>1581150</xdr:colOff>
      <xdr:row>52</xdr:row>
      <xdr:rowOff>28575</xdr:rowOff>
    </xdr:from>
    <xdr:ext cx="256160" cy="283458"/>
    <xdr:sp macro="" textlink="">
      <xdr:nvSpPr>
        <xdr:cNvPr id="103" name="TextBox 102">
          <a:extLst>
            <a:ext uri="{FF2B5EF4-FFF2-40B4-BE49-F238E27FC236}">
              <a16:creationId xmlns:a16="http://schemas.microsoft.com/office/drawing/2014/main" id="{E1FEDB3D-E67A-4C0E-8435-72F28A0C9F7D}"/>
            </a:ext>
          </a:extLst>
        </xdr:cNvPr>
        <xdr:cNvSpPr txBox="1"/>
      </xdr:nvSpPr>
      <xdr:spPr>
        <a:xfrm>
          <a:off x="2333625" y="891540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5</a:t>
          </a:r>
        </a:p>
      </xdr:txBody>
    </xdr:sp>
    <xdr:clientData/>
  </xdr:oneCellAnchor>
  <xdr:oneCellAnchor>
    <xdr:from>
      <xdr:col>1</xdr:col>
      <xdr:colOff>2200275</xdr:colOff>
      <xdr:row>50</xdr:row>
      <xdr:rowOff>123825</xdr:rowOff>
    </xdr:from>
    <xdr:ext cx="256160" cy="283458"/>
    <xdr:sp macro="" textlink="">
      <xdr:nvSpPr>
        <xdr:cNvPr id="104" name="TextBox 103">
          <a:extLst>
            <a:ext uri="{FF2B5EF4-FFF2-40B4-BE49-F238E27FC236}">
              <a16:creationId xmlns:a16="http://schemas.microsoft.com/office/drawing/2014/main" id="{BC261E9A-D123-4A6B-B1C6-D3762BBDB668}"/>
            </a:ext>
          </a:extLst>
        </xdr:cNvPr>
        <xdr:cNvSpPr txBox="1"/>
      </xdr:nvSpPr>
      <xdr:spPr>
        <a:xfrm>
          <a:off x="2952750" y="868680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6</a:t>
          </a:r>
        </a:p>
      </xdr:txBody>
    </xdr:sp>
    <xdr:clientData/>
  </xdr:oneCellAnchor>
  <xdr:oneCellAnchor>
    <xdr:from>
      <xdr:col>2</xdr:col>
      <xdr:colOff>295275</xdr:colOff>
      <xdr:row>52</xdr:row>
      <xdr:rowOff>38100</xdr:rowOff>
    </xdr:from>
    <xdr:ext cx="256160" cy="283458"/>
    <xdr:sp macro="" textlink="">
      <xdr:nvSpPr>
        <xdr:cNvPr id="105" name="TextBox 104">
          <a:extLst>
            <a:ext uri="{FF2B5EF4-FFF2-40B4-BE49-F238E27FC236}">
              <a16:creationId xmlns:a16="http://schemas.microsoft.com/office/drawing/2014/main" id="{89D40139-0190-4DC9-A5C5-F03E83F928CB}"/>
            </a:ext>
          </a:extLst>
        </xdr:cNvPr>
        <xdr:cNvSpPr txBox="1"/>
      </xdr:nvSpPr>
      <xdr:spPr>
        <a:xfrm>
          <a:off x="3429000" y="8924925"/>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7</a:t>
          </a:r>
        </a:p>
      </xdr:txBody>
    </xdr:sp>
    <xdr:clientData/>
  </xdr:oneCellAnchor>
  <xdr:oneCellAnchor>
    <xdr:from>
      <xdr:col>15</xdr:col>
      <xdr:colOff>476250</xdr:colOff>
      <xdr:row>52</xdr:row>
      <xdr:rowOff>142875</xdr:rowOff>
    </xdr:from>
    <xdr:ext cx="256160" cy="283458"/>
    <xdr:sp macro="" textlink="">
      <xdr:nvSpPr>
        <xdr:cNvPr id="106" name="TextBox 105">
          <a:extLst>
            <a:ext uri="{FF2B5EF4-FFF2-40B4-BE49-F238E27FC236}">
              <a16:creationId xmlns:a16="http://schemas.microsoft.com/office/drawing/2014/main" id="{ED8FBDCD-6462-4292-BB07-EF53C4855D0F}"/>
            </a:ext>
          </a:extLst>
        </xdr:cNvPr>
        <xdr:cNvSpPr txBox="1"/>
      </xdr:nvSpPr>
      <xdr:spPr>
        <a:xfrm>
          <a:off x="13163550" y="902970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8</a:t>
          </a:r>
        </a:p>
      </xdr:txBody>
    </xdr:sp>
    <xdr:clientData/>
  </xdr:oneCellAnchor>
  <xdr:oneCellAnchor>
    <xdr:from>
      <xdr:col>17</xdr:col>
      <xdr:colOff>361950</xdr:colOff>
      <xdr:row>53</xdr:row>
      <xdr:rowOff>9525</xdr:rowOff>
    </xdr:from>
    <xdr:ext cx="256160" cy="283458"/>
    <xdr:sp macro="" textlink="">
      <xdr:nvSpPr>
        <xdr:cNvPr id="107" name="TextBox 106">
          <a:extLst>
            <a:ext uri="{FF2B5EF4-FFF2-40B4-BE49-F238E27FC236}">
              <a16:creationId xmlns:a16="http://schemas.microsoft.com/office/drawing/2014/main" id="{87ED8DF8-D8EE-43A7-B716-1E79A8CA2ADD}"/>
            </a:ext>
          </a:extLst>
        </xdr:cNvPr>
        <xdr:cNvSpPr txBox="1"/>
      </xdr:nvSpPr>
      <xdr:spPr>
        <a:xfrm>
          <a:off x="14277975" y="906780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9</a:t>
          </a:r>
        </a:p>
      </xdr:txBody>
    </xdr:sp>
    <xdr:clientData/>
  </xdr:oneCellAnchor>
  <xdr:oneCellAnchor>
    <xdr:from>
      <xdr:col>19</xdr:col>
      <xdr:colOff>28575</xdr:colOff>
      <xdr:row>51</xdr:row>
      <xdr:rowOff>76200</xdr:rowOff>
    </xdr:from>
    <xdr:ext cx="327654" cy="264560"/>
    <xdr:sp macro="" textlink="">
      <xdr:nvSpPr>
        <xdr:cNvPr id="108" name="TextBox 107">
          <a:extLst>
            <a:ext uri="{FF2B5EF4-FFF2-40B4-BE49-F238E27FC236}">
              <a16:creationId xmlns:a16="http://schemas.microsoft.com/office/drawing/2014/main" id="{2F4A7EB1-0174-4D20-8D6E-5B2DC5839F2C}"/>
            </a:ext>
          </a:extLst>
        </xdr:cNvPr>
        <xdr:cNvSpPr txBox="1"/>
      </xdr:nvSpPr>
      <xdr:spPr>
        <a:xfrm>
          <a:off x="15268575" y="85344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10</a:t>
          </a:r>
        </a:p>
      </xdr:txBody>
    </xdr:sp>
    <xdr:clientData/>
  </xdr:oneCellAnchor>
  <xdr:oneCellAnchor>
    <xdr:from>
      <xdr:col>20</xdr:col>
      <xdr:colOff>238125</xdr:colOff>
      <xdr:row>43</xdr:row>
      <xdr:rowOff>152400</xdr:rowOff>
    </xdr:from>
    <xdr:ext cx="327654" cy="264560"/>
    <xdr:sp macro="" textlink="">
      <xdr:nvSpPr>
        <xdr:cNvPr id="109" name="TextBox 108">
          <a:extLst>
            <a:ext uri="{FF2B5EF4-FFF2-40B4-BE49-F238E27FC236}">
              <a16:creationId xmlns:a16="http://schemas.microsoft.com/office/drawing/2014/main" id="{FE017362-FB3A-4ACA-915B-C681A8AD04A3}"/>
            </a:ext>
          </a:extLst>
        </xdr:cNvPr>
        <xdr:cNvSpPr txBox="1"/>
      </xdr:nvSpPr>
      <xdr:spPr>
        <a:xfrm>
          <a:off x="16087725" y="73152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11</a:t>
          </a:r>
        </a:p>
      </xdr:txBody>
    </xdr:sp>
    <xdr:clientData/>
  </xdr:oneCellAnchor>
  <xdr:oneCellAnchor>
    <xdr:from>
      <xdr:col>19</xdr:col>
      <xdr:colOff>495300</xdr:colOff>
      <xdr:row>36</xdr:row>
      <xdr:rowOff>57150</xdr:rowOff>
    </xdr:from>
    <xdr:ext cx="327654" cy="264560"/>
    <xdr:sp macro="" textlink="">
      <xdr:nvSpPr>
        <xdr:cNvPr id="110" name="TextBox 109">
          <a:extLst>
            <a:ext uri="{FF2B5EF4-FFF2-40B4-BE49-F238E27FC236}">
              <a16:creationId xmlns:a16="http://schemas.microsoft.com/office/drawing/2014/main" id="{94B15F8C-0F97-4186-B913-5491BEDE5AB9}"/>
            </a:ext>
          </a:extLst>
        </xdr:cNvPr>
        <xdr:cNvSpPr txBox="1"/>
      </xdr:nvSpPr>
      <xdr:spPr>
        <a:xfrm>
          <a:off x="15735300" y="6086475"/>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12</a:t>
          </a:r>
        </a:p>
      </xdr:txBody>
    </xdr:sp>
    <xdr:clientData/>
  </xdr:oneCellAnchor>
  <xdr:twoCellAnchor>
    <xdr:from>
      <xdr:col>1</xdr:col>
      <xdr:colOff>328608</xdr:colOff>
      <xdr:row>36</xdr:row>
      <xdr:rowOff>19050</xdr:rowOff>
    </xdr:from>
    <xdr:to>
      <xdr:col>1</xdr:col>
      <xdr:colOff>352426</xdr:colOff>
      <xdr:row>43</xdr:row>
      <xdr:rowOff>85724</xdr:rowOff>
    </xdr:to>
    <xdr:cxnSp macro="">
      <xdr:nvCxnSpPr>
        <xdr:cNvPr id="112" name="Straight Connector 111">
          <a:extLst>
            <a:ext uri="{FF2B5EF4-FFF2-40B4-BE49-F238E27FC236}">
              <a16:creationId xmlns:a16="http://schemas.microsoft.com/office/drawing/2014/main" id="{E7845018-2119-4798-8F9A-868ABFF5B487}"/>
            </a:ext>
          </a:extLst>
        </xdr:cNvPr>
        <xdr:cNvCxnSpPr>
          <a:stCxn id="556031" idx="3"/>
        </xdr:cNvCxnSpPr>
      </xdr:nvCxnSpPr>
      <xdr:spPr bwMode="auto">
        <a:xfrm rot="5400000" flipH="1" flipV="1">
          <a:off x="350042" y="6617491"/>
          <a:ext cx="1200149" cy="23818"/>
        </a:xfrm>
        <a:prstGeom prst="line">
          <a:avLst/>
        </a:prstGeom>
        <a:ln>
          <a:prstDash val="lgDashDotDot"/>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495300</xdr:colOff>
      <xdr:row>36</xdr:row>
      <xdr:rowOff>19050</xdr:rowOff>
    </xdr:from>
    <xdr:to>
      <xdr:col>1</xdr:col>
      <xdr:colOff>276225</xdr:colOff>
      <xdr:row>43</xdr:row>
      <xdr:rowOff>47625</xdr:rowOff>
    </xdr:to>
    <xdr:cxnSp macro="">
      <xdr:nvCxnSpPr>
        <xdr:cNvPr id="570428" name="Straight Arrow Connector 113">
          <a:extLst>
            <a:ext uri="{FF2B5EF4-FFF2-40B4-BE49-F238E27FC236}">
              <a16:creationId xmlns:a16="http://schemas.microsoft.com/office/drawing/2014/main" id="{45835A39-371C-44D9-8608-8DF59A243F6C}"/>
            </a:ext>
          </a:extLst>
        </xdr:cNvPr>
        <xdr:cNvCxnSpPr>
          <a:cxnSpLocks noChangeShapeType="1"/>
        </xdr:cNvCxnSpPr>
      </xdr:nvCxnSpPr>
      <xdr:spPr bwMode="auto">
        <a:xfrm rot="16200000" flipH="1">
          <a:off x="166688" y="6376987"/>
          <a:ext cx="1162050" cy="504825"/>
        </a:xfrm>
        <a:prstGeom prst="straightConnector1">
          <a:avLst/>
        </a:prstGeom>
        <a:noFill/>
        <a:ln w="9525" algn="ctr">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19</xdr:col>
      <xdr:colOff>471484</xdr:colOff>
      <xdr:row>36</xdr:row>
      <xdr:rowOff>57151</xdr:rowOff>
    </xdr:from>
    <xdr:to>
      <xdr:col>19</xdr:col>
      <xdr:colOff>495302</xdr:colOff>
      <xdr:row>43</xdr:row>
      <xdr:rowOff>123825</xdr:rowOff>
    </xdr:to>
    <xdr:cxnSp macro="">
      <xdr:nvCxnSpPr>
        <xdr:cNvPr id="115" name="Straight Connector 114">
          <a:extLst>
            <a:ext uri="{FF2B5EF4-FFF2-40B4-BE49-F238E27FC236}">
              <a16:creationId xmlns:a16="http://schemas.microsoft.com/office/drawing/2014/main" id="{EC5B7EA3-EA4B-495E-942A-5EB61797EA63}"/>
            </a:ext>
          </a:extLst>
        </xdr:cNvPr>
        <xdr:cNvCxnSpPr/>
      </xdr:nvCxnSpPr>
      <xdr:spPr bwMode="auto">
        <a:xfrm rot="5400000" flipH="1" flipV="1">
          <a:off x="11218068" y="6655592"/>
          <a:ext cx="1200149" cy="23818"/>
        </a:xfrm>
        <a:prstGeom prst="line">
          <a:avLst/>
        </a:prstGeom>
        <a:ln>
          <a:prstDash val="lgDashDotDot"/>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495302</xdr:colOff>
      <xdr:row>36</xdr:row>
      <xdr:rowOff>76200</xdr:rowOff>
    </xdr:from>
    <xdr:to>
      <xdr:col>20</xdr:col>
      <xdr:colOff>290509</xdr:colOff>
      <xdr:row>43</xdr:row>
      <xdr:rowOff>104774</xdr:rowOff>
    </xdr:to>
    <xdr:cxnSp macro="">
      <xdr:nvCxnSpPr>
        <xdr:cNvPr id="116" name="Straight Arrow Connector 115">
          <a:extLst>
            <a:ext uri="{FF2B5EF4-FFF2-40B4-BE49-F238E27FC236}">
              <a16:creationId xmlns:a16="http://schemas.microsoft.com/office/drawing/2014/main" id="{51B21A9C-E210-4388-944D-D8BA5C1C6A67}"/>
            </a:ext>
          </a:extLst>
        </xdr:cNvPr>
        <xdr:cNvCxnSpPr/>
      </xdr:nvCxnSpPr>
      <xdr:spPr bwMode="auto">
        <a:xfrm rot="5400000">
          <a:off x="11446668" y="6469859"/>
          <a:ext cx="1162049" cy="395282"/>
        </a:xfrm>
        <a:prstGeom prst="straightConnector1">
          <a:avLst/>
        </a:prstGeom>
        <a:ln>
          <a:headEnd type="triangl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oneCellAnchor>
    <xdr:from>
      <xdr:col>0</xdr:col>
      <xdr:colOff>247650</xdr:colOff>
      <xdr:row>33</xdr:row>
      <xdr:rowOff>133350</xdr:rowOff>
    </xdr:from>
    <xdr:ext cx="256160" cy="283458"/>
    <xdr:sp macro="" textlink="">
      <xdr:nvSpPr>
        <xdr:cNvPr id="117" name="TextBox 116">
          <a:extLst>
            <a:ext uri="{FF2B5EF4-FFF2-40B4-BE49-F238E27FC236}">
              <a16:creationId xmlns:a16="http://schemas.microsoft.com/office/drawing/2014/main" id="{552A9A03-AAB6-4239-B8EB-49D06D8CB867}"/>
            </a:ext>
          </a:extLst>
        </xdr:cNvPr>
        <xdr:cNvSpPr txBox="1"/>
      </xdr:nvSpPr>
      <xdr:spPr>
        <a:xfrm>
          <a:off x="276225" y="5934075"/>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a:t>
          </a:r>
        </a:p>
      </xdr:txBody>
    </xdr:sp>
    <xdr:clientData/>
  </xdr:oneCellAnchor>
  <xdr:twoCellAnchor>
    <xdr:from>
      <xdr:col>0</xdr:col>
      <xdr:colOff>526731</xdr:colOff>
      <xdr:row>35</xdr:row>
      <xdr:rowOff>128772</xdr:rowOff>
    </xdr:from>
    <xdr:to>
      <xdr:col>1</xdr:col>
      <xdr:colOff>343505</xdr:colOff>
      <xdr:row>37</xdr:row>
      <xdr:rowOff>36519</xdr:rowOff>
    </xdr:to>
    <xdr:sp macro="" textlink="">
      <xdr:nvSpPr>
        <xdr:cNvPr id="118" name="Circular Arrow 117">
          <a:extLst>
            <a:ext uri="{FF2B5EF4-FFF2-40B4-BE49-F238E27FC236}">
              <a16:creationId xmlns:a16="http://schemas.microsoft.com/office/drawing/2014/main" id="{113DFBE5-2AB7-4C54-ACE9-29F25E8806BE}"/>
            </a:ext>
          </a:extLst>
        </xdr:cNvPr>
        <xdr:cNvSpPr/>
      </xdr:nvSpPr>
      <xdr:spPr bwMode="auto">
        <a:xfrm rot="20480909">
          <a:off x="526731" y="5977122"/>
          <a:ext cx="426374" cy="231597"/>
        </a:xfrm>
        <a:prstGeom prst="circular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19</xdr:col>
      <xdr:colOff>460055</xdr:colOff>
      <xdr:row>35</xdr:row>
      <xdr:rowOff>81147</xdr:rowOff>
    </xdr:from>
    <xdr:to>
      <xdr:col>20</xdr:col>
      <xdr:colOff>286354</xdr:colOff>
      <xdr:row>36</xdr:row>
      <xdr:rowOff>150819</xdr:rowOff>
    </xdr:to>
    <xdr:sp macro="" textlink="">
      <xdr:nvSpPr>
        <xdr:cNvPr id="119" name="Circular Arrow 118">
          <a:extLst>
            <a:ext uri="{FF2B5EF4-FFF2-40B4-BE49-F238E27FC236}">
              <a16:creationId xmlns:a16="http://schemas.microsoft.com/office/drawing/2014/main" id="{905114B8-CFAA-4049-9A6C-19DB99065CAE}"/>
            </a:ext>
          </a:extLst>
        </xdr:cNvPr>
        <xdr:cNvSpPr/>
      </xdr:nvSpPr>
      <xdr:spPr bwMode="auto">
        <a:xfrm rot="796621">
          <a:off x="11794805" y="5929497"/>
          <a:ext cx="426374" cy="231597"/>
        </a:xfrm>
        <a:prstGeom prst="circular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0</xdr:col>
      <xdr:colOff>257175</xdr:colOff>
      <xdr:row>33</xdr:row>
      <xdr:rowOff>133350</xdr:rowOff>
    </xdr:from>
    <xdr:to>
      <xdr:col>0</xdr:col>
      <xdr:colOff>533400</xdr:colOff>
      <xdr:row>35</xdr:row>
      <xdr:rowOff>85725</xdr:rowOff>
    </xdr:to>
    <xdr:sp macro="" textlink="">
      <xdr:nvSpPr>
        <xdr:cNvPr id="120" name="Oval 119">
          <a:extLst>
            <a:ext uri="{FF2B5EF4-FFF2-40B4-BE49-F238E27FC236}">
              <a16:creationId xmlns:a16="http://schemas.microsoft.com/office/drawing/2014/main" id="{01C4747D-89DE-4F07-AAEF-FEDCBA9A0FF3}"/>
            </a:ext>
          </a:extLst>
        </xdr:cNvPr>
        <xdr:cNvSpPr/>
      </xdr:nvSpPr>
      <xdr:spPr bwMode="auto">
        <a:xfrm>
          <a:off x="257175" y="5657850"/>
          <a:ext cx="276225" cy="276225"/>
        </a:xfrm>
        <a:prstGeom prst="ellipse">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endParaRPr lang="en-AU"/>
        </a:p>
      </xdr:txBody>
    </xdr:sp>
    <xdr:clientData/>
  </xdr:twoCellAnchor>
  <xdr:oneCellAnchor>
    <xdr:from>
      <xdr:col>19</xdr:col>
      <xdr:colOff>219075</xdr:colOff>
      <xdr:row>32</xdr:row>
      <xdr:rowOff>114300</xdr:rowOff>
    </xdr:from>
    <xdr:ext cx="327654" cy="264560"/>
    <xdr:sp macro="" textlink="">
      <xdr:nvSpPr>
        <xdr:cNvPr id="121" name="TextBox 120">
          <a:extLst>
            <a:ext uri="{FF2B5EF4-FFF2-40B4-BE49-F238E27FC236}">
              <a16:creationId xmlns:a16="http://schemas.microsoft.com/office/drawing/2014/main" id="{7953AAE3-116C-49A4-9471-B29EDC9F1D99}"/>
            </a:ext>
          </a:extLst>
        </xdr:cNvPr>
        <xdr:cNvSpPr txBox="1"/>
      </xdr:nvSpPr>
      <xdr:spPr>
        <a:xfrm>
          <a:off x="15459075" y="5476875"/>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13</a:t>
          </a:r>
        </a:p>
      </xdr:txBody>
    </xdr:sp>
    <xdr:clientData/>
  </xdr:oneCellAnchor>
  <xdr:twoCellAnchor>
    <xdr:from>
      <xdr:col>1</xdr:col>
      <xdr:colOff>295275</xdr:colOff>
      <xdr:row>34</xdr:row>
      <xdr:rowOff>85725</xdr:rowOff>
    </xdr:from>
    <xdr:to>
      <xdr:col>6</xdr:col>
      <xdr:colOff>190500</xdr:colOff>
      <xdr:row>35</xdr:row>
      <xdr:rowOff>85725</xdr:rowOff>
    </xdr:to>
    <xdr:sp macro="" textlink="">
      <xdr:nvSpPr>
        <xdr:cNvPr id="570436" name="Right Brace 121">
          <a:extLst>
            <a:ext uri="{FF2B5EF4-FFF2-40B4-BE49-F238E27FC236}">
              <a16:creationId xmlns:a16="http://schemas.microsoft.com/office/drawing/2014/main" id="{D2A3B167-23BF-4F96-925F-48AE97463D31}"/>
            </a:ext>
          </a:extLst>
        </xdr:cNvPr>
        <xdr:cNvSpPr>
          <a:spLocks/>
        </xdr:cNvSpPr>
      </xdr:nvSpPr>
      <xdr:spPr bwMode="auto">
        <a:xfrm rot="-5400000">
          <a:off x="3371850" y="3438525"/>
          <a:ext cx="161925" cy="4867275"/>
        </a:xfrm>
        <a:prstGeom prst="rightBrace">
          <a:avLst>
            <a:gd name="adj1" fmla="val 8350"/>
            <a:gd name="adj2" fmla="val 50000"/>
          </a:avLst>
        </a:prstGeom>
        <a:solidFill>
          <a:srgbClr val="969696"/>
        </a:solidFill>
        <a:ln w="9525" algn="ctr">
          <a:solidFill>
            <a:srgbClr val="000000"/>
          </a:solidFill>
          <a:round/>
          <a:headEnd/>
          <a:tailEnd/>
        </a:ln>
      </xdr:spPr>
    </xdr:sp>
    <xdr:clientData/>
  </xdr:twoCellAnchor>
  <xdr:oneCellAnchor>
    <xdr:from>
      <xdr:col>2</xdr:col>
      <xdr:colOff>142875</xdr:colOff>
      <xdr:row>30</xdr:row>
      <xdr:rowOff>152400</xdr:rowOff>
    </xdr:from>
    <xdr:ext cx="327654" cy="264560"/>
    <xdr:sp macro="" textlink="">
      <xdr:nvSpPr>
        <xdr:cNvPr id="123" name="TextBox 122">
          <a:extLst>
            <a:ext uri="{FF2B5EF4-FFF2-40B4-BE49-F238E27FC236}">
              <a16:creationId xmlns:a16="http://schemas.microsoft.com/office/drawing/2014/main" id="{D2051921-17BB-4256-BEFF-05548D9D3A59}"/>
            </a:ext>
          </a:extLst>
        </xdr:cNvPr>
        <xdr:cNvSpPr txBox="1"/>
      </xdr:nvSpPr>
      <xdr:spPr>
        <a:xfrm>
          <a:off x="3248025" y="5133975"/>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14</a:t>
          </a:r>
        </a:p>
      </xdr:txBody>
    </xdr:sp>
    <xdr:clientData/>
  </xdr:oneCellAnchor>
  <xdr:twoCellAnchor>
    <xdr:from>
      <xdr:col>7</xdr:col>
      <xdr:colOff>580250</xdr:colOff>
      <xdr:row>52</xdr:row>
      <xdr:rowOff>27811</xdr:rowOff>
    </xdr:from>
    <xdr:to>
      <xdr:col>7</xdr:col>
      <xdr:colOff>581026</xdr:colOff>
      <xdr:row>52</xdr:row>
      <xdr:rowOff>142874</xdr:rowOff>
    </xdr:to>
    <xdr:cxnSp macro="">
      <xdr:nvCxnSpPr>
        <xdr:cNvPr id="125" name="Straight Arrow Connector 124">
          <a:extLst>
            <a:ext uri="{FF2B5EF4-FFF2-40B4-BE49-F238E27FC236}">
              <a16:creationId xmlns:a16="http://schemas.microsoft.com/office/drawing/2014/main" id="{F9FF867D-57F5-42EC-B528-C73D103BE99D}"/>
            </a:ext>
          </a:extLst>
        </xdr:cNvPr>
        <xdr:cNvCxnSpPr/>
      </xdr:nvCxnSpPr>
      <xdr:spPr bwMode="auto">
        <a:xfrm rot="16440000" flipV="1">
          <a:off x="6723881" y="8705080"/>
          <a:ext cx="115063" cy="776"/>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xdr:col>
      <xdr:colOff>209550</xdr:colOff>
      <xdr:row>43</xdr:row>
      <xdr:rowOff>9525</xdr:rowOff>
    </xdr:from>
    <xdr:to>
      <xdr:col>7</xdr:col>
      <xdr:colOff>352425</xdr:colOff>
      <xdr:row>47</xdr:row>
      <xdr:rowOff>133350</xdr:rowOff>
    </xdr:to>
    <xdr:cxnSp macro="">
      <xdr:nvCxnSpPr>
        <xdr:cNvPr id="570439" name="Straight Connector 130">
          <a:extLst>
            <a:ext uri="{FF2B5EF4-FFF2-40B4-BE49-F238E27FC236}">
              <a16:creationId xmlns:a16="http://schemas.microsoft.com/office/drawing/2014/main" id="{A09D068C-FA8E-495A-9739-6687A831132E}"/>
            </a:ext>
          </a:extLst>
        </xdr:cNvPr>
        <xdr:cNvCxnSpPr>
          <a:cxnSpLocks noChangeShapeType="1"/>
        </xdr:cNvCxnSpPr>
      </xdr:nvCxnSpPr>
      <xdr:spPr bwMode="auto">
        <a:xfrm rot="5400000" flipH="1" flipV="1">
          <a:off x="6200775" y="7486650"/>
          <a:ext cx="771525" cy="142875"/>
        </a:xfrm>
        <a:prstGeom prst="line">
          <a:avLst/>
        </a:prstGeom>
        <a:noFill/>
        <a:ln w="9525" algn="ctr">
          <a:solidFill>
            <a:srgbClr val="00CCFF"/>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752475</xdr:colOff>
      <xdr:row>43</xdr:row>
      <xdr:rowOff>38100</xdr:rowOff>
    </xdr:from>
    <xdr:to>
      <xdr:col>7</xdr:col>
      <xdr:colOff>904875</xdr:colOff>
      <xdr:row>47</xdr:row>
      <xdr:rowOff>95250</xdr:rowOff>
    </xdr:to>
    <xdr:cxnSp macro="">
      <xdr:nvCxnSpPr>
        <xdr:cNvPr id="570440" name="Straight Connector 131">
          <a:extLst>
            <a:ext uri="{FF2B5EF4-FFF2-40B4-BE49-F238E27FC236}">
              <a16:creationId xmlns:a16="http://schemas.microsoft.com/office/drawing/2014/main" id="{28F70530-B05A-42CE-BA2F-5DC87FDBD8AA}"/>
            </a:ext>
          </a:extLst>
        </xdr:cNvPr>
        <xdr:cNvCxnSpPr>
          <a:cxnSpLocks noChangeShapeType="1"/>
        </xdr:cNvCxnSpPr>
      </xdr:nvCxnSpPr>
      <xdr:spPr bwMode="auto">
        <a:xfrm rot="16200000" flipH="1">
          <a:off x="6781800" y="7477125"/>
          <a:ext cx="704850" cy="152400"/>
        </a:xfrm>
        <a:prstGeom prst="line">
          <a:avLst/>
        </a:prstGeom>
        <a:noFill/>
        <a:ln w="9525" algn="ctr">
          <a:solidFill>
            <a:srgbClr val="00CCFF"/>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352425</xdr:colOff>
      <xdr:row>42</xdr:row>
      <xdr:rowOff>133350</xdr:rowOff>
    </xdr:from>
    <xdr:to>
      <xdr:col>7</xdr:col>
      <xdr:colOff>762000</xdr:colOff>
      <xdr:row>43</xdr:row>
      <xdr:rowOff>66675</xdr:rowOff>
    </xdr:to>
    <xdr:sp macro="" textlink="">
      <xdr:nvSpPr>
        <xdr:cNvPr id="570441" name="Freeform 135">
          <a:extLst>
            <a:ext uri="{FF2B5EF4-FFF2-40B4-BE49-F238E27FC236}">
              <a16:creationId xmlns:a16="http://schemas.microsoft.com/office/drawing/2014/main" id="{B23F5ED0-7D67-4064-8504-340929930CF2}"/>
            </a:ext>
          </a:extLst>
        </xdr:cNvPr>
        <xdr:cNvSpPr>
          <a:spLocks noChangeArrowheads="1"/>
        </xdr:cNvSpPr>
      </xdr:nvSpPr>
      <xdr:spPr bwMode="auto">
        <a:xfrm>
          <a:off x="6657975" y="7134225"/>
          <a:ext cx="409575" cy="95250"/>
        </a:xfrm>
        <a:custGeom>
          <a:avLst/>
          <a:gdLst>
            <a:gd name="T0" fmla="*/ 0 w 411162"/>
            <a:gd name="T1" fmla="*/ 18947 h 101600"/>
            <a:gd name="T2" fmla="*/ 101583 w 411162"/>
            <a:gd name="T3" fmla="*/ 1895 h 101600"/>
            <a:gd name="T4" fmla="*/ 156992 w 411162"/>
            <a:gd name="T5" fmla="*/ 30313 h 101600"/>
            <a:gd name="T6" fmla="*/ 249340 w 411162"/>
            <a:gd name="T7" fmla="*/ 7578 h 101600"/>
            <a:gd name="T8" fmla="*/ 304749 w 411162"/>
            <a:gd name="T9" fmla="*/ 24630 h 101600"/>
            <a:gd name="T10" fmla="*/ 369393 w 411162"/>
            <a:gd name="T11" fmla="*/ 18947 h 101600"/>
            <a:gd name="T12" fmla="*/ 397095 w 411162"/>
            <a:gd name="T13" fmla="*/ 58732 h 101600"/>
            <a:gd name="T14" fmla="*/ 378628 w 411162"/>
            <a:gd name="T15" fmla="*/ 30313 h 101600"/>
            <a:gd name="T16" fmla="*/ 0 60000 65536"/>
            <a:gd name="T17" fmla="*/ 0 60000 65536"/>
            <a:gd name="T18" fmla="*/ 0 60000 65536"/>
            <a:gd name="T19" fmla="*/ 0 60000 65536"/>
            <a:gd name="T20" fmla="*/ 0 60000 65536"/>
            <a:gd name="T21" fmla="*/ 0 60000 65536"/>
            <a:gd name="T22" fmla="*/ 0 60000 65536"/>
            <a:gd name="T23" fmla="*/ 0 60000 65536"/>
            <a:gd name="T24" fmla="*/ 0 w 411162"/>
            <a:gd name="T25" fmla="*/ 0 h 101600"/>
            <a:gd name="T26" fmla="*/ 411162 w 411162"/>
            <a:gd name="T27" fmla="*/ 101600 h 10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411162" h="101600">
              <a:moveTo>
                <a:pt x="0" y="31750"/>
              </a:moveTo>
              <a:cubicBezTo>
                <a:pt x="38893" y="15875"/>
                <a:pt x="77787" y="0"/>
                <a:pt x="104775" y="3175"/>
              </a:cubicBezTo>
              <a:cubicBezTo>
                <a:pt x="131763" y="6350"/>
                <a:pt x="136525" y="49213"/>
                <a:pt x="161925" y="50800"/>
              </a:cubicBezTo>
              <a:cubicBezTo>
                <a:pt x="187325" y="52388"/>
                <a:pt x="231775" y="14288"/>
                <a:pt x="257175" y="12700"/>
              </a:cubicBezTo>
              <a:cubicBezTo>
                <a:pt x="282575" y="11113"/>
                <a:pt x="293688" y="38100"/>
                <a:pt x="314325" y="41275"/>
              </a:cubicBezTo>
              <a:cubicBezTo>
                <a:pt x="334963" y="44450"/>
                <a:pt x="365125" y="22225"/>
                <a:pt x="381000" y="31750"/>
              </a:cubicBezTo>
              <a:cubicBezTo>
                <a:pt x="396875" y="41275"/>
                <a:pt x="407988" y="95250"/>
                <a:pt x="409575" y="98425"/>
              </a:cubicBezTo>
              <a:cubicBezTo>
                <a:pt x="411162" y="101600"/>
                <a:pt x="400843" y="76200"/>
                <a:pt x="390525" y="50800"/>
              </a:cubicBezTo>
            </a:path>
          </a:pathLst>
        </a:custGeom>
        <a:noFill/>
        <a:ln w="9525" algn="ctr">
          <a:solidFill>
            <a:srgbClr val="00CCFF"/>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6</xdr:col>
      <xdr:colOff>419100</xdr:colOff>
      <xdr:row>40</xdr:row>
      <xdr:rowOff>19050</xdr:rowOff>
    </xdr:from>
    <xdr:ext cx="1919771" cy="283458"/>
    <xdr:sp macro="" textlink="">
      <xdr:nvSpPr>
        <xdr:cNvPr id="86" name="TextBox 85">
          <a:extLst>
            <a:ext uri="{FF2B5EF4-FFF2-40B4-BE49-F238E27FC236}">
              <a16:creationId xmlns:a16="http://schemas.microsoft.com/office/drawing/2014/main" id="{47E79B21-65D8-460C-B647-6786E2A842C0}"/>
            </a:ext>
          </a:extLst>
        </xdr:cNvPr>
        <xdr:cNvSpPr txBox="1"/>
      </xdr:nvSpPr>
      <xdr:spPr>
        <a:xfrm>
          <a:off x="6115050" y="6962775"/>
          <a:ext cx="1910267"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pPr algn="l" rtl="0">
            <a:defRPr sz="1000"/>
          </a:pPr>
          <a:r>
            <a:rPr lang="en-AU" sz="1100" b="0" i="0" u="none" strike="noStrike" baseline="0">
              <a:solidFill>
                <a:srgbClr val="993300"/>
              </a:solidFill>
              <a:latin typeface="Calibri"/>
              <a:cs typeface="Calibri"/>
            </a:rPr>
            <a:t>RECEIVER/TRANSMITTER PAIR</a:t>
          </a:r>
          <a:endParaRPr lang="en-AU"/>
        </a:p>
      </xdr:txBody>
    </xdr:sp>
    <xdr:clientData/>
  </xdr:oneCellAnchor>
  <xdr:twoCellAnchor>
    <xdr:from>
      <xdr:col>8</xdr:col>
      <xdr:colOff>123825</xdr:colOff>
      <xdr:row>49</xdr:row>
      <xdr:rowOff>19050</xdr:rowOff>
    </xdr:from>
    <xdr:to>
      <xdr:col>9</xdr:col>
      <xdr:colOff>676275</xdr:colOff>
      <xdr:row>52</xdr:row>
      <xdr:rowOff>28575</xdr:rowOff>
    </xdr:to>
    <xdr:sp macro="" textlink="">
      <xdr:nvSpPr>
        <xdr:cNvPr id="381276" name="Rectangle 15">
          <a:extLst>
            <a:ext uri="{FF2B5EF4-FFF2-40B4-BE49-F238E27FC236}">
              <a16:creationId xmlns:a16="http://schemas.microsoft.com/office/drawing/2014/main" id="{AA2F93D7-E3A0-40EC-8D08-E8E239526636}"/>
            </a:ext>
          </a:extLst>
        </xdr:cNvPr>
        <xdr:cNvSpPr>
          <a:spLocks noChangeArrowheads="1"/>
        </xdr:cNvSpPr>
      </xdr:nvSpPr>
      <xdr:spPr bwMode="auto">
        <a:xfrm>
          <a:off x="8601075" y="8420100"/>
          <a:ext cx="828675" cy="495300"/>
        </a:xfrm>
        <a:prstGeom prst="rect">
          <a:avLst/>
        </a:prstGeom>
        <a:solidFill>
          <a:srgbClr val="FFFFFF"/>
        </a:solidFill>
        <a:ln w="9525" algn="ctr">
          <a:solidFill>
            <a:srgbClr val="000000"/>
          </a:solidFill>
          <a:round/>
          <a:headEnd/>
          <a:tailEnd/>
        </a:ln>
      </xdr:spPr>
      <xdr:txBody>
        <a:bodyPr vertOverflow="clip" wrap="square" lIns="27432" tIns="22860" rIns="27432" bIns="0" anchor="t"/>
        <a:lstStyle/>
        <a:p>
          <a:pPr algn="ctr" rtl="0">
            <a:defRPr sz="1000"/>
          </a:pPr>
          <a:endParaRPr lang="en-AU" sz="1000" b="0" i="0" u="none" strike="noStrike" baseline="0">
            <a:solidFill>
              <a:srgbClr val="000000"/>
            </a:solidFill>
            <a:latin typeface="Arial"/>
            <a:cs typeface="Arial"/>
          </a:endParaRPr>
        </a:p>
        <a:p>
          <a:pPr algn="ctr" rtl="0">
            <a:defRPr sz="1000"/>
          </a:pPr>
          <a:r>
            <a:rPr lang="en-AU" sz="1000" b="0" i="0" u="none" strike="noStrike" baseline="0">
              <a:solidFill>
                <a:srgbClr val="000000"/>
              </a:solidFill>
              <a:latin typeface="Arial"/>
              <a:cs typeface="Arial"/>
            </a:rPr>
            <a:t>DEMOD</a:t>
          </a:r>
        </a:p>
        <a:p>
          <a:pPr algn="ctr" rtl="0">
            <a:defRPr sz="1000"/>
          </a:pPr>
          <a:r>
            <a:rPr lang="en-AU" sz="1000" b="0" i="0" u="none" strike="noStrike" baseline="0">
              <a:solidFill>
                <a:srgbClr val="000000"/>
              </a:solidFill>
              <a:latin typeface="Arial"/>
              <a:cs typeface="Arial"/>
            </a:rPr>
            <a:t>(DVB-S2(X))</a:t>
          </a:r>
          <a:endParaRPr lang="en-AU"/>
        </a:p>
      </xdr:txBody>
    </xdr:sp>
    <xdr:clientData/>
  </xdr:twoCellAnchor>
  <xdr:twoCellAnchor>
    <xdr:from>
      <xdr:col>11</xdr:col>
      <xdr:colOff>228600</xdr:colOff>
      <xdr:row>48</xdr:row>
      <xdr:rowOff>114300</xdr:rowOff>
    </xdr:from>
    <xdr:to>
      <xdr:col>12</xdr:col>
      <xdr:colOff>428625</xdr:colOff>
      <xdr:row>52</xdr:row>
      <xdr:rowOff>123825</xdr:rowOff>
    </xdr:to>
    <xdr:sp macro="" textlink="">
      <xdr:nvSpPr>
        <xdr:cNvPr id="381277" name="Rectangle 15">
          <a:extLst>
            <a:ext uri="{FF2B5EF4-FFF2-40B4-BE49-F238E27FC236}">
              <a16:creationId xmlns:a16="http://schemas.microsoft.com/office/drawing/2014/main" id="{5FCCFD20-2168-467E-BFBA-E26332DD6CBE}"/>
            </a:ext>
          </a:extLst>
        </xdr:cNvPr>
        <xdr:cNvSpPr>
          <a:spLocks noChangeArrowheads="1"/>
        </xdr:cNvSpPr>
      </xdr:nvSpPr>
      <xdr:spPr bwMode="auto">
        <a:xfrm>
          <a:off x="10277475" y="8353425"/>
          <a:ext cx="828675" cy="657225"/>
        </a:xfrm>
        <a:prstGeom prst="rect">
          <a:avLst/>
        </a:prstGeom>
        <a:solidFill>
          <a:srgbClr val="FFFFFF"/>
        </a:solidFill>
        <a:ln w="9525" algn="ctr">
          <a:solidFill>
            <a:srgbClr val="000000"/>
          </a:solidFill>
          <a:round/>
          <a:headEnd/>
          <a:tailEnd/>
        </a:ln>
      </xdr:spPr>
      <xdr:txBody>
        <a:bodyPr vertOverflow="clip" wrap="square" lIns="27432" tIns="22860" rIns="27432" bIns="0" anchor="t"/>
        <a:lstStyle/>
        <a:p>
          <a:pPr algn="ctr" rtl="0">
            <a:defRPr sz="1000"/>
          </a:pPr>
          <a:endParaRPr lang="en-AU" sz="1000" b="0" i="0" u="none" strike="noStrike" baseline="0">
            <a:solidFill>
              <a:srgbClr val="000000"/>
            </a:solidFill>
            <a:latin typeface="Arial"/>
            <a:cs typeface="Arial"/>
          </a:endParaRPr>
        </a:p>
        <a:p>
          <a:pPr algn="ctr" rtl="0">
            <a:defRPr sz="1000"/>
          </a:pPr>
          <a:r>
            <a:rPr lang="en-AU" sz="900" b="0" i="0" u="none" strike="noStrike" baseline="0">
              <a:solidFill>
                <a:srgbClr val="000000"/>
              </a:solidFill>
              <a:latin typeface="Arial"/>
              <a:cs typeface="Arial"/>
            </a:rPr>
            <a:t>ADAPTIVE</a:t>
          </a:r>
        </a:p>
        <a:p>
          <a:pPr algn="ctr" rtl="0">
            <a:defRPr sz="1000"/>
          </a:pPr>
          <a:r>
            <a:rPr lang="en-AU" sz="900" b="0" i="0" u="none" strike="noStrike" baseline="0">
              <a:solidFill>
                <a:srgbClr val="000000"/>
              </a:solidFill>
              <a:latin typeface="Arial"/>
              <a:cs typeface="Arial"/>
            </a:rPr>
            <a:t>MODULATOR (DVB-S2(X))</a:t>
          </a:r>
          <a:endParaRPr lang="en-AU" sz="900"/>
        </a:p>
      </xdr:txBody>
    </xdr:sp>
    <xdr:clientData/>
  </xdr:twoCellAnchor>
  <xdr:twoCellAnchor>
    <xdr:from>
      <xdr:col>11</xdr:col>
      <xdr:colOff>219075</xdr:colOff>
      <xdr:row>43</xdr:row>
      <xdr:rowOff>28575</xdr:rowOff>
    </xdr:from>
    <xdr:to>
      <xdr:col>12</xdr:col>
      <xdr:colOff>419100</xdr:colOff>
      <xdr:row>46</xdr:row>
      <xdr:rowOff>38100</xdr:rowOff>
    </xdr:to>
    <xdr:sp macro="" textlink="">
      <xdr:nvSpPr>
        <xdr:cNvPr id="381280" name="Rectangle 15">
          <a:extLst>
            <a:ext uri="{FF2B5EF4-FFF2-40B4-BE49-F238E27FC236}">
              <a16:creationId xmlns:a16="http://schemas.microsoft.com/office/drawing/2014/main" id="{AF41F42F-CB1D-450D-A242-8BF858028A04}"/>
            </a:ext>
          </a:extLst>
        </xdr:cNvPr>
        <xdr:cNvSpPr>
          <a:spLocks noChangeArrowheads="1"/>
        </xdr:cNvSpPr>
      </xdr:nvSpPr>
      <xdr:spPr bwMode="auto">
        <a:xfrm>
          <a:off x="10267950" y="7458075"/>
          <a:ext cx="828675" cy="495300"/>
        </a:xfrm>
        <a:prstGeom prst="rect">
          <a:avLst/>
        </a:prstGeom>
        <a:solidFill>
          <a:srgbClr val="FFFFFF"/>
        </a:solidFill>
        <a:ln w="9525" algn="ctr">
          <a:solidFill>
            <a:srgbClr val="000000"/>
          </a:solidFill>
          <a:round/>
          <a:headEnd/>
          <a:tailEnd/>
        </a:ln>
      </xdr:spPr>
      <xdr:txBody>
        <a:bodyPr vertOverflow="clip" wrap="square" lIns="27432" tIns="22860" rIns="27432" bIns="0" anchor="t"/>
        <a:lstStyle/>
        <a:p>
          <a:pPr algn="ctr" rtl="0">
            <a:defRPr sz="1000"/>
          </a:pPr>
          <a:endParaRPr lang="en-AU" sz="1000" b="0" i="0" u="none" strike="noStrike" baseline="0">
            <a:solidFill>
              <a:srgbClr val="000000"/>
            </a:solidFill>
            <a:latin typeface="Arial"/>
            <a:cs typeface="Arial"/>
          </a:endParaRPr>
        </a:p>
        <a:p>
          <a:pPr algn="ctr" rtl="0">
            <a:defRPr sz="1000"/>
          </a:pPr>
          <a:r>
            <a:rPr lang="en-AU" sz="1000" b="0" i="0" u="none" strike="noStrike" baseline="0">
              <a:solidFill>
                <a:srgbClr val="000000"/>
              </a:solidFill>
              <a:latin typeface="Symbol"/>
            </a:rPr>
            <a:t>m</a:t>
          </a:r>
          <a:r>
            <a:rPr lang="en-AU" sz="1000" b="0" i="0" u="none" strike="noStrike" baseline="0">
              <a:solidFill>
                <a:srgbClr val="000000"/>
              </a:solidFill>
              <a:latin typeface="Arial"/>
              <a:cs typeface="Arial"/>
            </a:rPr>
            <a:t>P</a:t>
          </a:r>
          <a:endParaRPr lang="en-AU"/>
        </a:p>
      </xdr:txBody>
    </xdr:sp>
    <xdr:clientData/>
  </xdr:twoCellAnchor>
  <xdr:twoCellAnchor>
    <xdr:from>
      <xdr:col>11</xdr:col>
      <xdr:colOff>409575</xdr:colOff>
      <xdr:row>46</xdr:row>
      <xdr:rowOff>38100</xdr:rowOff>
    </xdr:from>
    <xdr:to>
      <xdr:col>11</xdr:col>
      <xdr:colOff>409575</xdr:colOff>
      <xdr:row>48</xdr:row>
      <xdr:rowOff>123825</xdr:rowOff>
    </xdr:to>
    <xdr:sp macro="" textlink="">
      <xdr:nvSpPr>
        <xdr:cNvPr id="570446" name="Line 12642">
          <a:extLst>
            <a:ext uri="{FF2B5EF4-FFF2-40B4-BE49-F238E27FC236}">
              <a16:creationId xmlns:a16="http://schemas.microsoft.com/office/drawing/2014/main" id="{1A74BDEB-D334-440E-853C-DCDF850FEE95}"/>
            </a:ext>
          </a:extLst>
        </xdr:cNvPr>
        <xdr:cNvSpPr>
          <a:spLocks noChangeShapeType="1"/>
        </xdr:cNvSpPr>
      </xdr:nvSpPr>
      <xdr:spPr bwMode="auto">
        <a:xfrm>
          <a:off x="10458450" y="7686675"/>
          <a:ext cx="0" cy="409575"/>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209550</xdr:colOff>
      <xdr:row>46</xdr:row>
      <xdr:rowOff>38100</xdr:rowOff>
    </xdr:from>
    <xdr:to>
      <xdr:col>12</xdr:col>
      <xdr:colOff>209550</xdr:colOff>
      <xdr:row>48</xdr:row>
      <xdr:rowOff>123825</xdr:rowOff>
    </xdr:to>
    <xdr:sp macro="" textlink="">
      <xdr:nvSpPr>
        <xdr:cNvPr id="570447" name="Line 12643">
          <a:extLst>
            <a:ext uri="{FF2B5EF4-FFF2-40B4-BE49-F238E27FC236}">
              <a16:creationId xmlns:a16="http://schemas.microsoft.com/office/drawing/2014/main" id="{43AE8063-BD4F-4679-8A98-65F0557DBCFD}"/>
            </a:ext>
          </a:extLst>
        </xdr:cNvPr>
        <xdr:cNvSpPr>
          <a:spLocks noChangeShapeType="1"/>
        </xdr:cNvSpPr>
      </xdr:nvSpPr>
      <xdr:spPr bwMode="auto">
        <a:xfrm>
          <a:off x="11020425" y="7686675"/>
          <a:ext cx="0" cy="409575"/>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247650</xdr:colOff>
      <xdr:row>39</xdr:row>
      <xdr:rowOff>47625</xdr:rowOff>
    </xdr:from>
    <xdr:to>
      <xdr:col>9</xdr:col>
      <xdr:colOff>247650</xdr:colOff>
      <xdr:row>49</xdr:row>
      <xdr:rowOff>19050</xdr:rowOff>
    </xdr:to>
    <xdr:sp macro="" textlink="">
      <xdr:nvSpPr>
        <xdr:cNvPr id="570448" name="Line 12644">
          <a:extLst>
            <a:ext uri="{FF2B5EF4-FFF2-40B4-BE49-F238E27FC236}">
              <a16:creationId xmlns:a16="http://schemas.microsoft.com/office/drawing/2014/main" id="{DDD46D26-746E-465A-B450-55440FEEE2BA}"/>
            </a:ext>
          </a:extLst>
        </xdr:cNvPr>
        <xdr:cNvSpPr>
          <a:spLocks noChangeShapeType="1"/>
        </xdr:cNvSpPr>
      </xdr:nvSpPr>
      <xdr:spPr bwMode="auto">
        <a:xfrm flipV="1">
          <a:off x="9001125" y="6562725"/>
          <a:ext cx="0" cy="1590675"/>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257175</xdr:colOff>
      <xdr:row>44</xdr:row>
      <xdr:rowOff>123825</xdr:rowOff>
    </xdr:from>
    <xdr:to>
      <xdr:col>11</xdr:col>
      <xdr:colOff>228600</xdr:colOff>
      <xdr:row>44</xdr:row>
      <xdr:rowOff>123825</xdr:rowOff>
    </xdr:to>
    <xdr:sp macro="" textlink="">
      <xdr:nvSpPr>
        <xdr:cNvPr id="570449" name="Line 12645">
          <a:extLst>
            <a:ext uri="{FF2B5EF4-FFF2-40B4-BE49-F238E27FC236}">
              <a16:creationId xmlns:a16="http://schemas.microsoft.com/office/drawing/2014/main" id="{C6F5A85F-C3A0-48ED-913B-D95789BAE32A}"/>
            </a:ext>
          </a:extLst>
        </xdr:cNvPr>
        <xdr:cNvSpPr>
          <a:spLocks noChangeShapeType="1"/>
        </xdr:cNvSpPr>
      </xdr:nvSpPr>
      <xdr:spPr bwMode="auto">
        <a:xfrm>
          <a:off x="9010650" y="7448550"/>
          <a:ext cx="1266825" cy="0"/>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13</xdr:col>
      <xdr:colOff>38100</xdr:colOff>
      <xdr:row>47</xdr:row>
      <xdr:rowOff>95250</xdr:rowOff>
    </xdr:from>
    <xdr:to>
      <xdr:col>13</xdr:col>
      <xdr:colOff>114300</xdr:colOff>
      <xdr:row>48</xdr:row>
      <xdr:rowOff>133350</xdr:rowOff>
    </xdr:to>
    <xdr:sp macro="" textlink="">
      <xdr:nvSpPr>
        <xdr:cNvPr id="570450" name="Text Box 12646">
          <a:extLst>
            <a:ext uri="{FF2B5EF4-FFF2-40B4-BE49-F238E27FC236}">
              <a16:creationId xmlns:a16="http://schemas.microsoft.com/office/drawing/2014/main" id="{6BCD9B48-0467-4DE6-987B-D603BE507F9A}"/>
            </a:ext>
          </a:extLst>
        </xdr:cNvPr>
        <xdr:cNvSpPr txBox="1">
          <a:spLocks noChangeArrowheads="1"/>
        </xdr:cNvSpPr>
      </xdr:nvSpPr>
      <xdr:spPr bwMode="auto">
        <a:xfrm>
          <a:off x="11601450" y="79057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12</xdr:col>
      <xdr:colOff>247650</xdr:colOff>
      <xdr:row>46</xdr:row>
      <xdr:rowOff>152400</xdr:rowOff>
    </xdr:from>
    <xdr:ext cx="831125" cy="179601"/>
    <xdr:sp macro="" textlink="">
      <xdr:nvSpPr>
        <xdr:cNvPr id="381287" name="Text Box 12647">
          <a:extLst>
            <a:ext uri="{FF2B5EF4-FFF2-40B4-BE49-F238E27FC236}">
              <a16:creationId xmlns:a16="http://schemas.microsoft.com/office/drawing/2014/main" id="{7CA53D11-5734-4933-9380-D318D4D7880D}"/>
            </a:ext>
          </a:extLst>
        </xdr:cNvPr>
        <xdr:cNvSpPr txBox="1">
          <a:spLocks noChangeArrowheads="1"/>
        </xdr:cNvSpPr>
      </xdr:nvSpPr>
      <xdr:spPr bwMode="auto">
        <a:xfrm>
          <a:off x="11058525" y="7800975"/>
          <a:ext cx="831125"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Encoded Data</a:t>
          </a:r>
          <a:endParaRPr lang="en-AU"/>
        </a:p>
      </xdr:txBody>
    </xdr:sp>
    <xdr:clientData/>
  </xdr:oneCellAnchor>
  <xdr:oneCellAnchor>
    <xdr:from>
      <xdr:col>9</xdr:col>
      <xdr:colOff>438150</xdr:colOff>
      <xdr:row>43</xdr:row>
      <xdr:rowOff>95250</xdr:rowOff>
    </xdr:from>
    <xdr:ext cx="916405" cy="179601"/>
    <xdr:sp macro="" textlink="">
      <xdr:nvSpPr>
        <xdr:cNvPr id="381288" name="Text Box 12648">
          <a:extLst>
            <a:ext uri="{FF2B5EF4-FFF2-40B4-BE49-F238E27FC236}">
              <a16:creationId xmlns:a16="http://schemas.microsoft.com/office/drawing/2014/main" id="{34707615-B603-4610-9A1D-E19D486CE553}"/>
            </a:ext>
          </a:extLst>
        </xdr:cNvPr>
        <xdr:cNvSpPr txBox="1">
          <a:spLocks noChangeArrowheads="1"/>
        </xdr:cNvSpPr>
      </xdr:nvSpPr>
      <xdr:spPr bwMode="auto">
        <a:xfrm>
          <a:off x="9191625" y="7258050"/>
          <a:ext cx="916405"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Command Data</a:t>
          </a:r>
          <a:endParaRPr lang="en-AU"/>
        </a:p>
      </xdr:txBody>
    </xdr:sp>
    <xdr:clientData/>
  </xdr:oneCellAnchor>
  <xdr:oneCellAnchor>
    <xdr:from>
      <xdr:col>9</xdr:col>
      <xdr:colOff>590550</xdr:colOff>
      <xdr:row>46</xdr:row>
      <xdr:rowOff>114300</xdr:rowOff>
    </xdr:from>
    <xdr:ext cx="1080552" cy="179601"/>
    <xdr:sp macro="" textlink="">
      <xdr:nvSpPr>
        <xdr:cNvPr id="381289" name="Text Box 12649">
          <a:extLst>
            <a:ext uri="{FF2B5EF4-FFF2-40B4-BE49-F238E27FC236}">
              <a16:creationId xmlns:a16="http://schemas.microsoft.com/office/drawing/2014/main" id="{446898A1-BB3B-4A6B-81F6-AC24F126DEA2}"/>
            </a:ext>
          </a:extLst>
        </xdr:cNvPr>
        <xdr:cNvSpPr txBox="1">
          <a:spLocks noChangeArrowheads="1"/>
        </xdr:cNvSpPr>
      </xdr:nvSpPr>
      <xdr:spPr bwMode="auto">
        <a:xfrm>
          <a:off x="9344025" y="7762875"/>
          <a:ext cx="1080552"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Modulation Setting</a:t>
          </a:r>
          <a:endParaRPr lang="en-AU"/>
        </a:p>
      </xdr:txBody>
    </xdr:sp>
    <xdr:clientData/>
  </xdr:oneCellAnchor>
  <xdr:twoCellAnchor>
    <xdr:from>
      <xdr:col>11</xdr:col>
      <xdr:colOff>381000</xdr:colOff>
      <xdr:row>38</xdr:row>
      <xdr:rowOff>142875</xdr:rowOff>
    </xdr:from>
    <xdr:to>
      <xdr:col>11</xdr:col>
      <xdr:colOff>381000</xdr:colOff>
      <xdr:row>43</xdr:row>
      <xdr:rowOff>38100</xdr:rowOff>
    </xdr:to>
    <xdr:sp macro="" textlink="">
      <xdr:nvSpPr>
        <xdr:cNvPr id="570454" name="Line 12650">
          <a:extLst>
            <a:ext uri="{FF2B5EF4-FFF2-40B4-BE49-F238E27FC236}">
              <a16:creationId xmlns:a16="http://schemas.microsoft.com/office/drawing/2014/main" id="{8EDD315B-7EDC-4F39-AC11-7B6102BEC08C}"/>
            </a:ext>
          </a:extLst>
        </xdr:cNvPr>
        <xdr:cNvSpPr>
          <a:spLocks noChangeShapeType="1"/>
        </xdr:cNvSpPr>
      </xdr:nvSpPr>
      <xdr:spPr bwMode="auto">
        <a:xfrm>
          <a:off x="10429875" y="6496050"/>
          <a:ext cx="0" cy="704850"/>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342900</xdr:colOff>
      <xdr:row>38</xdr:row>
      <xdr:rowOff>66675</xdr:rowOff>
    </xdr:from>
    <xdr:to>
      <xdr:col>11</xdr:col>
      <xdr:colOff>419100</xdr:colOff>
      <xdr:row>38</xdr:row>
      <xdr:rowOff>142875</xdr:rowOff>
    </xdr:to>
    <xdr:sp macro="" textlink="">
      <xdr:nvSpPr>
        <xdr:cNvPr id="570455" name="Oval 12651">
          <a:extLst>
            <a:ext uri="{FF2B5EF4-FFF2-40B4-BE49-F238E27FC236}">
              <a16:creationId xmlns:a16="http://schemas.microsoft.com/office/drawing/2014/main" id="{D4DF5B5F-42CE-45AD-8613-3DF79498B8F8}"/>
            </a:ext>
          </a:extLst>
        </xdr:cNvPr>
        <xdr:cNvSpPr>
          <a:spLocks noChangeArrowheads="1"/>
        </xdr:cNvSpPr>
      </xdr:nvSpPr>
      <xdr:spPr bwMode="auto">
        <a:xfrm>
          <a:off x="10391775" y="6419850"/>
          <a:ext cx="76200" cy="76200"/>
        </a:xfrm>
        <a:prstGeom prst="ellipse">
          <a:avLst/>
        </a:prstGeom>
        <a:noFill/>
        <a:ln w="1905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12</xdr:col>
      <xdr:colOff>133350</xdr:colOff>
      <xdr:row>38</xdr:row>
      <xdr:rowOff>95250</xdr:rowOff>
    </xdr:from>
    <xdr:to>
      <xdr:col>12</xdr:col>
      <xdr:colOff>133350</xdr:colOff>
      <xdr:row>43</xdr:row>
      <xdr:rowOff>38100</xdr:rowOff>
    </xdr:to>
    <xdr:sp macro="" textlink="">
      <xdr:nvSpPr>
        <xdr:cNvPr id="570456" name="Line 12652">
          <a:extLst>
            <a:ext uri="{FF2B5EF4-FFF2-40B4-BE49-F238E27FC236}">
              <a16:creationId xmlns:a16="http://schemas.microsoft.com/office/drawing/2014/main" id="{BA1332EF-CDFC-47C1-9F1C-72903081F50F}"/>
            </a:ext>
          </a:extLst>
        </xdr:cNvPr>
        <xdr:cNvSpPr>
          <a:spLocks noChangeShapeType="1"/>
        </xdr:cNvSpPr>
      </xdr:nvSpPr>
      <xdr:spPr bwMode="auto">
        <a:xfrm>
          <a:off x="10944225" y="6448425"/>
          <a:ext cx="0" cy="752475"/>
        </a:xfrm>
        <a:prstGeom prst="line">
          <a:avLst/>
        </a:prstGeom>
        <a:noFill/>
        <a:ln w="7620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oneCellAnchor>
    <xdr:from>
      <xdr:col>12</xdr:col>
      <xdr:colOff>257175</xdr:colOff>
      <xdr:row>40</xdr:row>
      <xdr:rowOff>28575</xdr:rowOff>
    </xdr:from>
    <xdr:ext cx="545919" cy="179601"/>
    <xdr:sp macro="" textlink="">
      <xdr:nvSpPr>
        <xdr:cNvPr id="381293" name="Text Box 12653">
          <a:extLst>
            <a:ext uri="{FF2B5EF4-FFF2-40B4-BE49-F238E27FC236}">
              <a16:creationId xmlns:a16="http://schemas.microsoft.com/office/drawing/2014/main" id="{5109A825-D2BA-4A79-80C9-7F8F3EBE6F4E}"/>
            </a:ext>
          </a:extLst>
        </xdr:cNvPr>
        <xdr:cNvSpPr txBox="1">
          <a:spLocks noChangeArrowheads="1"/>
        </xdr:cNvSpPr>
      </xdr:nvSpPr>
      <xdr:spPr bwMode="auto">
        <a:xfrm>
          <a:off x="11068050" y="6705600"/>
          <a:ext cx="545919"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Data Bus</a:t>
          </a:r>
          <a:endParaRPr lang="en-AU"/>
        </a:p>
      </xdr:txBody>
    </xdr:sp>
    <xdr:clientData/>
  </xdr:oneCellAnchor>
  <xdr:oneCellAnchor>
    <xdr:from>
      <xdr:col>10</xdr:col>
      <xdr:colOff>466725</xdr:colOff>
      <xdr:row>40</xdr:row>
      <xdr:rowOff>28575</xdr:rowOff>
    </xdr:from>
    <xdr:ext cx="431785" cy="179601"/>
    <xdr:sp macro="" textlink="">
      <xdr:nvSpPr>
        <xdr:cNvPr id="381294" name="Text Box 12654">
          <a:extLst>
            <a:ext uri="{FF2B5EF4-FFF2-40B4-BE49-F238E27FC236}">
              <a16:creationId xmlns:a16="http://schemas.microsoft.com/office/drawing/2014/main" id="{C5A4BF7A-236B-40CC-8DAF-4AC5A6151F9F}"/>
            </a:ext>
          </a:extLst>
        </xdr:cNvPr>
        <xdr:cNvSpPr txBox="1">
          <a:spLocks noChangeArrowheads="1"/>
        </xdr:cNvSpPr>
      </xdr:nvSpPr>
      <xdr:spPr bwMode="auto">
        <a:xfrm>
          <a:off x="9906000" y="6705600"/>
          <a:ext cx="431785"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Control</a:t>
          </a:r>
          <a:endParaRPr lang="en-AU"/>
        </a:p>
      </xdr:txBody>
    </xdr:sp>
    <xdr:clientData/>
  </xdr:oneCellAnchor>
  <xdr:twoCellAnchor>
    <xdr:from>
      <xdr:col>7</xdr:col>
      <xdr:colOff>1266825</xdr:colOff>
      <xdr:row>37</xdr:row>
      <xdr:rowOff>76200</xdr:rowOff>
    </xdr:from>
    <xdr:to>
      <xdr:col>7</xdr:col>
      <xdr:colOff>1343025</xdr:colOff>
      <xdr:row>37</xdr:row>
      <xdr:rowOff>152400</xdr:rowOff>
    </xdr:to>
    <xdr:sp macro="" textlink="">
      <xdr:nvSpPr>
        <xdr:cNvPr id="570459" name="Oval 12655">
          <a:extLst>
            <a:ext uri="{FF2B5EF4-FFF2-40B4-BE49-F238E27FC236}">
              <a16:creationId xmlns:a16="http://schemas.microsoft.com/office/drawing/2014/main" id="{04EB2EB4-05B6-48F7-8F0F-1D9370273DF6}"/>
            </a:ext>
          </a:extLst>
        </xdr:cNvPr>
        <xdr:cNvSpPr>
          <a:spLocks noChangeArrowheads="1"/>
        </xdr:cNvSpPr>
      </xdr:nvSpPr>
      <xdr:spPr bwMode="auto">
        <a:xfrm>
          <a:off x="8010525" y="6362700"/>
          <a:ext cx="76200" cy="76200"/>
        </a:xfrm>
        <a:prstGeom prst="ellipse">
          <a:avLst/>
        </a:prstGeom>
        <a:noFill/>
        <a:ln w="1905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7</xdr:col>
      <xdr:colOff>1457262</xdr:colOff>
      <xdr:row>34</xdr:row>
      <xdr:rowOff>76201</xdr:rowOff>
    </xdr:from>
    <xdr:ext cx="671209" cy="381000"/>
    <xdr:sp macro="" textlink="">
      <xdr:nvSpPr>
        <xdr:cNvPr id="381296" name="Text Box 12656">
          <a:extLst>
            <a:ext uri="{FF2B5EF4-FFF2-40B4-BE49-F238E27FC236}">
              <a16:creationId xmlns:a16="http://schemas.microsoft.com/office/drawing/2014/main" id="{43492F45-27A8-4DF7-AE33-9B77DCD3CD4C}"/>
            </a:ext>
          </a:extLst>
        </xdr:cNvPr>
        <xdr:cNvSpPr txBox="1">
          <a:spLocks noChangeArrowheads="1"/>
        </xdr:cNvSpPr>
      </xdr:nvSpPr>
      <xdr:spPr bwMode="auto">
        <a:xfrm>
          <a:off x="8200962" y="5876926"/>
          <a:ext cx="671209" cy="381000"/>
        </a:xfrm>
        <a:prstGeom prst="rect">
          <a:avLst/>
        </a:prstGeom>
        <a:noFill/>
        <a:ln>
          <a:noFill/>
        </a:ln>
      </xdr:spPr>
      <xdr:txBody>
        <a:bodyPr wrap="none" lIns="18288" tIns="22860" rIns="18288" bIns="0" anchor="t" upright="1">
          <a:noAutofit/>
        </a:bodyPr>
        <a:lstStyle/>
        <a:p>
          <a:pPr algn="ctr" rtl="0">
            <a:defRPr sz="1000"/>
          </a:pPr>
          <a:r>
            <a:rPr lang="en-AU" sz="1000" b="0" i="0" u="none" strike="noStrike" baseline="0">
              <a:solidFill>
                <a:srgbClr val="000000"/>
              </a:solidFill>
              <a:latin typeface="Arial"/>
              <a:cs typeface="Arial"/>
            </a:rPr>
            <a:t>Serial Data</a:t>
          </a:r>
        </a:p>
        <a:p>
          <a:pPr algn="ctr" rtl="0">
            <a:defRPr sz="1000"/>
          </a:pPr>
          <a:r>
            <a:rPr lang="en-AU" sz="1000" b="0" i="0" u="none" strike="noStrike" baseline="0">
              <a:solidFill>
                <a:srgbClr val="000000"/>
              </a:solidFill>
              <a:latin typeface="Arial"/>
              <a:cs typeface="Arial"/>
            </a:rPr>
            <a:t>Stream</a:t>
          </a:r>
        </a:p>
        <a:p>
          <a:pPr algn="ctr" rtl="0">
            <a:defRPr sz="1000"/>
          </a:pPr>
          <a:endParaRPr lang="en-AU"/>
        </a:p>
      </xdr:txBody>
    </xdr:sp>
    <xdr:clientData/>
  </xdr:oneCellAnchor>
  <xdr:oneCellAnchor>
    <xdr:from>
      <xdr:col>2</xdr:col>
      <xdr:colOff>200025</xdr:colOff>
      <xdr:row>49</xdr:row>
      <xdr:rowOff>133350</xdr:rowOff>
    </xdr:from>
    <xdr:ext cx="267894" cy="179601"/>
    <xdr:sp macro="" textlink="">
      <xdr:nvSpPr>
        <xdr:cNvPr id="381299" name="Text Box 12659">
          <a:extLst>
            <a:ext uri="{FF2B5EF4-FFF2-40B4-BE49-F238E27FC236}">
              <a16:creationId xmlns:a16="http://schemas.microsoft.com/office/drawing/2014/main" id="{684D176D-684C-49BF-9BA2-8D9A52420C80}"/>
            </a:ext>
          </a:extLst>
        </xdr:cNvPr>
        <xdr:cNvSpPr txBox="1">
          <a:spLocks noChangeArrowheads="1"/>
        </xdr:cNvSpPr>
      </xdr:nvSpPr>
      <xdr:spPr bwMode="auto">
        <a:xfrm>
          <a:off x="3305175" y="8267700"/>
          <a:ext cx="267894"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LNA</a:t>
          </a:r>
          <a:endParaRPr lang="en-AU"/>
        </a:p>
      </xdr:txBody>
    </xdr:sp>
    <xdr:clientData/>
  </xdr:oneCellAnchor>
  <xdr:twoCellAnchor>
    <xdr:from>
      <xdr:col>12</xdr:col>
      <xdr:colOff>561975</xdr:colOff>
      <xdr:row>50</xdr:row>
      <xdr:rowOff>123825</xdr:rowOff>
    </xdr:from>
    <xdr:to>
      <xdr:col>12</xdr:col>
      <xdr:colOff>561975</xdr:colOff>
      <xdr:row>53</xdr:row>
      <xdr:rowOff>161925</xdr:rowOff>
    </xdr:to>
    <xdr:sp macro="" textlink="">
      <xdr:nvSpPr>
        <xdr:cNvPr id="570463" name="Line 12661">
          <a:extLst>
            <a:ext uri="{FF2B5EF4-FFF2-40B4-BE49-F238E27FC236}">
              <a16:creationId xmlns:a16="http://schemas.microsoft.com/office/drawing/2014/main" id="{B11217CA-44F3-4EA5-9BC0-7FC02D2FF133}"/>
            </a:ext>
          </a:extLst>
        </xdr:cNvPr>
        <xdr:cNvSpPr>
          <a:spLocks noChangeShapeType="1"/>
        </xdr:cNvSpPr>
      </xdr:nvSpPr>
      <xdr:spPr bwMode="auto">
        <a:xfrm flipV="1">
          <a:off x="11372850" y="8420100"/>
          <a:ext cx="0" cy="533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1323975</xdr:colOff>
      <xdr:row>37</xdr:row>
      <xdr:rowOff>114300</xdr:rowOff>
    </xdr:from>
    <xdr:to>
      <xdr:col>8</xdr:col>
      <xdr:colOff>38099</xdr:colOff>
      <xdr:row>37</xdr:row>
      <xdr:rowOff>114300</xdr:rowOff>
    </xdr:to>
    <xdr:sp macro="" textlink="">
      <xdr:nvSpPr>
        <xdr:cNvPr id="111" name="Line 12650">
          <a:extLst>
            <a:ext uri="{FF2B5EF4-FFF2-40B4-BE49-F238E27FC236}">
              <a16:creationId xmlns:a16="http://schemas.microsoft.com/office/drawing/2014/main" id="{3B43F525-90AA-4C0E-94EB-5C0B80692750}"/>
            </a:ext>
          </a:extLst>
        </xdr:cNvPr>
        <xdr:cNvSpPr>
          <a:spLocks noChangeShapeType="1"/>
        </xdr:cNvSpPr>
      </xdr:nvSpPr>
      <xdr:spPr bwMode="auto">
        <a:xfrm flipV="1">
          <a:off x="8067675" y="6400800"/>
          <a:ext cx="885824" cy="0"/>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38100</xdr:colOff>
      <xdr:row>36</xdr:row>
      <xdr:rowOff>28575</xdr:rowOff>
    </xdr:from>
    <xdr:to>
      <xdr:col>9</xdr:col>
      <xdr:colOff>723900</xdr:colOff>
      <xdr:row>39</xdr:row>
      <xdr:rowOff>38100</xdr:rowOff>
    </xdr:to>
    <xdr:sp macro="" textlink="">
      <xdr:nvSpPr>
        <xdr:cNvPr id="113" name="Rectangle 15">
          <a:extLst>
            <a:ext uri="{FF2B5EF4-FFF2-40B4-BE49-F238E27FC236}">
              <a16:creationId xmlns:a16="http://schemas.microsoft.com/office/drawing/2014/main" id="{B227527A-1E43-4883-B2C9-24F2D99EF288}"/>
            </a:ext>
          </a:extLst>
        </xdr:cNvPr>
        <xdr:cNvSpPr>
          <a:spLocks noChangeArrowheads="1"/>
        </xdr:cNvSpPr>
      </xdr:nvSpPr>
      <xdr:spPr bwMode="auto">
        <a:xfrm>
          <a:off x="8953500" y="6153150"/>
          <a:ext cx="962025" cy="495300"/>
        </a:xfrm>
        <a:prstGeom prst="rect">
          <a:avLst/>
        </a:prstGeom>
        <a:solidFill>
          <a:srgbClr val="FFFFFF"/>
        </a:solidFill>
        <a:ln w="9525" algn="ctr">
          <a:solidFill>
            <a:srgbClr val="000000"/>
          </a:solidFill>
          <a:round/>
          <a:headEnd/>
          <a:tailEnd/>
        </a:ln>
      </xdr:spPr>
      <xdr:txBody>
        <a:bodyPr vertOverflow="clip" wrap="square" lIns="27432" tIns="22860" rIns="27432" bIns="0" anchor="t"/>
        <a:lstStyle/>
        <a:p>
          <a:pPr algn="ctr" rtl="0">
            <a:defRPr sz="1000"/>
          </a:pPr>
          <a:endParaRPr lang="en-AU" sz="1000" b="0" i="0" u="none" strike="noStrike" baseline="0">
            <a:solidFill>
              <a:srgbClr val="000000"/>
            </a:solidFill>
            <a:latin typeface="Arial"/>
            <a:cs typeface="Arial"/>
          </a:endParaRPr>
        </a:p>
        <a:p>
          <a:pPr algn="ctr" rtl="0">
            <a:defRPr sz="1000"/>
          </a:pPr>
          <a:r>
            <a:rPr lang="en-AU" sz="1000" b="0" i="0" u="none" strike="noStrike" baseline="0">
              <a:solidFill>
                <a:srgbClr val="000000"/>
              </a:solidFill>
              <a:latin typeface="Symbol"/>
            </a:rPr>
            <a:t>m</a:t>
          </a:r>
          <a:r>
            <a:rPr lang="en-AU" sz="1000" b="0" i="0" u="none" strike="noStrike" baseline="0">
              <a:solidFill>
                <a:srgbClr val="000000"/>
              </a:solidFill>
              <a:latin typeface="Arial"/>
              <a:cs typeface="Arial"/>
            </a:rPr>
            <a:t>P</a:t>
          </a:r>
          <a:endParaRPr lang="en-AU"/>
        </a:p>
      </xdr:txBody>
    </xdr:sp>
    <xdr:clientData/>
  </xdr:twoCellAnchor>
  <xdr:oneCellAnchor>
    <xdr:from>
      <xdr:col>8</xdr:col>
      <xdr:colOff>85725</xdr:colOff>
      <xdr:row>36</xdr:row>
      <xdr:rowOff>57150</xdr:rowOff>
    </xdr:from>
    <xdr:ext cx="868251" cy="148310"/>
    <xdr:sp macro="" textlink="">
      <xdr:nvSpPr>
        <xdr:cNvPr id="114" name="Text Box 12657">
          <a:extLst>
            <a:ext uri="{FF2B5EF4-FFF2-40B4-BE49-F238E27FC236}">
              <a16:creationId xmlns:a16="http://schemas.microsoft.com/office/drawing/2014/main" id="{243B3E1F-2282-4E4B-979B-ABBD5D138431}"/>
            </a:ext>
          </a:extLst>
        </xdr:cNvPr>
        <xdr:cNvSpPr txBox="1">
          <a:spLocks noChangeArrowheads="1"/>
        </xdr:cNvSpPr>
      </xdr:nvSpPr>
      <xdr:spPr bwMode="auto">
        <a:xfrm>
          <a:off x="9001125" y="6181725"/>
          <a:ext cx="868251" cy="148310"/>
        </a:xfrm>
        <a:prstGeom prst="rect">
          <a:avLst/>
        </a:prstGeom>
        <a:noFill/>
        <a:ln>
          <a:noFill/>
        </a:ln>
      </xdr:spPr>
      <xdr:txBody>
        <a:bodyPr wrap="none" lIns="18288" tIns="22860" rIns="0" bIns="0" anchor="t" upright="1">
          <a:spAutoFit/>
        </a:bodyPr>
        <a:lstStyle/>
        <a:p>
          <a:pPr algn="l" rtl="0">
            <a:defRPr sz="1000"/>
          </a:pPr>
          <a:r>
            <a:rPr lang="en-AU" sz="800" b="0" i="0" u="none" strike="noStrike" baseline="0">
              <a:solidFill>
                <a:srgbClr val="000000"/>
              </a:solidFill>
              <a:latin typeface="Arial"/>
              <a:cs typeface="Arial"/>
            </a:rPr>
            <a:t>Payload Computer</a:t>
          </a:r>
          <a:endParaRPr lang="en-AU" sz="800"/>
        </a:p>
      </xdr:txBody>
    </xdr:sp>
    <xdr:clientData/>
  </xdr:oneCellAnchor>
  <xdr:twoCellAnchor>
    <xdr:from>
      <xdr:col>0</xdr:col>
      <xdr:colOff>368300</xdr:colOff>
      <xdr:row>117</xdr:row>
      <xdr:rowOff>0</xdr:rowOff>
    </xdr:from>
    <xdr:to>
      <xdr:col>0</xdr:col>
      <xdr:colOff>368300</xdr:colOff>
      <xdr:row>118</xdr:row>
      <xdr:rowOff>12700</xdr:rowOff>
    </xdr:to>
    <xdr:sp macro="" textlink="">
      <xdr:nvSpPr>
        <xdr:cNvPr id="136" name="Line 4">
          <a:extLst>
            <a:ext uri="{FF2B5EF4-FFF2-40B4-BE49-F238E27FC236}">
              <a16:creationId xmlns:a16="http://schemas.microsoft.com/office/drawing/2014/main" id="{04A6EC1A-1CF5-440C-BE9D-3D23D6AC49C0}"/>
            </a:ext>
          </a:extLst>
        </xdr:cNvPr>
        <xdr:cNvSpPr>
          <a:spLocks noChangeShapeType="1"/>
        </xdr:cNvSpPr>
      </xdr:nvSpPr>
      <xdr:spPr bwMode="auto">
        <a:xfrm>
          <a:off x="1511300" y="2390775"/>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xdr:col>
      <xdr:colOff>1187450</xdr:colOff>
      <xdr:row>117</xdr:row>
      <xdr:rowOff>0</xdr:rowOff>
    </xdr:from>
    <xdr:to>
      <xdr:col>1</xdr:col>
      <xdr:colOff>1187450</xdr:colOff>
      <xdr:row>118</xdr:row>
      <xdr:rowOff>12700</xdr:rowOff>
    </xdr:to>
    <xdr:sp macro="" textlink="">
      <xdr:nvSpPr>
        <xdr:cNvPr id="137" name="Line 5">
          <a:extLst>
            <a:ext uri="{FF2B5EF4-FFF2-40B4-BE49-F238E27FC236}">
              <a16:creationId xmlns:a16="http://schemas.microsoft.com/office/drawing/2014/main" id="{36195F7C-59BA-491B-B016-9CCFBFBD1E3D}"/>
            </a:ext>
          </a:extLst>
        </xdr:cNvPr>
        <xdr:cNvSpPr>
          <a:spLocks noChangeShapeType="1"/>
        </xdr:cNvSpPr>
      </xdr:nvSpPr>
      <xdr:spPr bwMode="auto">
        <a:xfrm>
          <a:off x="1911350" y="19431000"/>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2</xdr:col>
      <xdr:colOff>406400</xdr:colOff>
      <xdr:row>117</xdr:row>
      <xdr:rowOff>0</xdr:rowOff>
    </xdr:from>
    <xdr:to>
      <xdr:col>2</xdr:col>
      <xdr:colOff>406400</xdr:colOff>
      <xdr:row>118</xdr:row>
      <xdr:rowOff>12700</xdr:rowOff>
    </xdr:to>
    <xdr:sp macro="" textlink="">
      <xdr:nvSpPr>
        <xdr:cNvPr id="138" name="Line 6">
          <a:extLst>
            <a:ext uri="{FF2B5EF4-FFF2-40B4-BE49-F238E27FC236}">
              <a16:creationId xmlns:a16="http://schemas.microsoft.com/office/drawing/2014/main" id="{934C35A9-989D-4003-B7E8-DBB61C1C03D1}"/>
            </a:ext>
          </a:extLst>
        </xdr:cNvPr>
        <xdr:cNvSpPr>
          <a:spLocks noChangeShapeType="1"/>
        </xdr:cNvSpPr>
      </xdr:nvSpPr>
      <xdr:spPr bwMode="auto">
        <a:xfrm>
          <a:off x="2968625" y="2390775"/>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3</xdr:col>
      <xdr:colOff>381000</xdr:colOff>
      <xdr:row>117</xdr:row>
      <xdr:rowOff>0</xdr:rowOff>
    </xdr:from>
    <xdr:to>
      <xdr:col>3</xdr:col>
      <xdr:colOff>381000</xdr:colOff>
      <xdr:row>118</xdr:row>
      <xdr:rowOff>12700</xdr:rowOff>
    </xdr:to>
    <xdr:sp macro="" textlink="">
      <xdr:nvSpPr>
        <xdr:cNvPr id="139" name="Line 7">
          <a:extLst>
            <a:ext uri="{FF2B5EF4-FFF2-40B4-BE49-F238E27FC236}">
              <a16:creationId xmlns:a16="http://schemas.microsoft.com/office/drawing/2014/main" id="{51E084A7-07D2-4B6E-95E9-A04A166323EC}"/>
            </a:ext>
          </a:extLst>
        </xdr:cNvPr>
        <xdr:cNvSpPr>
          <a:spLocks noChangeShapeType="1"/>
        </xdr:cNvSpPr>
      </xdr:nvSpPr>
      <xdr:spPr bwMode="auto">
        <a:xfrm>
          <a:off x="4143375" y="19431000"/>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10</xdr:col>
      <xdr:colOff>368300</xdr:colOff>
      <xdr:row>117</xdr:row>
      <xdr:rowOff>0</xdr:rowOff>
    </xdr:from>
    <xdr:to>
      <xdr:col>10</xdr:col>
      <xdr:colOff>368300</xdr:colOff>
      <xdr:row>118</xdr:row>
      <xdr:rowOff>12700</xdr:rowOff>
    </xdr:to>
    <xdr:sp macro="" textlink="">
      <xdr:nvSpPr>
        <xdr:cNvPr id="140" name="Line 4">
          <a:extLst>
            <a:ext uri="{FF2B5EF4-FFF2-40B4-BE49-F238E27FC236}">
              <a16:creationId xmlns:a16="http://schemas.microsoft.com/office/drawing/2014/main" id="{CDFBD364-1F26-456C-8194-331948A30F81}"/>
            </a:ext>
          </a:extLst>
        </xdr:cNvPr>
        <xdr:cNvSpPr>
          <a:spLocks noChangeShapeType="1"/>
        </xdr:cNvSpPr>
      </xdr:nvSpPr>
      <xdr:spPr bwMode="auto">
        <a:xfrm>
          <a:off x="1511300" y="2390775"/>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11</xdr:col>
      <xdr:colOff>368300</xdr:colOff>
      <xdr:row>117</xdr:row>
      <xdr:rowOff>0</xdr:rowOff>
    </xdr:from>
    <xdr:to>
      <xdr:col>11</xdr:col>
      <xdr:colOff>368300</xdr:colOff>
      <xdr:row>118</xdr:row>
      <xdr:rowOff>12700</xdr:rowOff>
    </xdr:to>
    <xdr:sp macro="" textlink="">
      <xdr:nvSpPr>
        <xdr:cNvPr id="141" name="Line 5">
          <a:extLst>
            <a:ext uri="{FF2B5EF4-FFF2-40B4-BE49-F238E27FC236}">
              <a16:creationId xmlns:a16="http://schemas.microsoft.com/office/drawing/2014/main" id="{2BFB23D9-517F-40DF-9586-BA62DE3DBD4C}"/>
            </a:ext>
          </a:extLst>
        </xdr:cNvPr>
        <xdr:cNvSpPr>
          <a:spLocks noChangeShapeType="1"/>
        </xdr:cNvSpPr>
      </xdr:nvSpPr>
      <xdr:spPr bwMode="auto">
        <a:xfrm>
          <a:off x="2111375" y="2390775"/>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12</xdr:col>
      <xdr:colOff>406400</xdr:colOff>
      <xdr:row>117</xdr:row>
      <xdr:rowOff>0</xdr:rowOff>
    </xdr:from>
    <xdr:to>
      <xdr:col>12</xdr:col>
      <xdr:colOff>406400</xdr:colOff>
      <xdr:row>118</xdr:row>
      <xdr:rowOff>12700</xdr:rowOff>
    </xdr:to>
    <xdr:sp macro="" textlink="">
      <xdr:nvSpPr>
        <xdr:cNvPr id="142" name="Line 6">
          <a:extLst>
            <a:ext uri="{FF2B5EF4-FFF2-40B4-BE49-F238E27FC236}">
              <a16:creationId xmlns:a16="http://schemas.microsoft.com/office/drawing/2014/main" id="{358572FB-A9E9-4CE5-9A35-2253906E7D4E}"/>
            </a:ext>
          </a:extLst>
        </xdr:cNvPr>
        <xdr:cNvSpPr>
          <a:spLocks noChangeShapeType="1"/>
        </xdr:cNvSpPr>
      </xdr:nvSpPr>
      <xdr:spPr bwMode="auto">
        <a:xfrm>
          <a:off x="2968625" y="2390775"/>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13</xdr:col>
      <xdr:colOff>333375</xdr:colOff>
      <xdr:row>117</xdr:row>
      <xdr:rowOff>0</xdr:rowOff>
    </xdr:from>
    <xdr:to>
      <xdr:col>13</xdr:col>
      <xdr:colOff>333375</xdr:colOff>
      <xdr:row>118</xdr:row>
      <xdr:rowOff>12700</xdr:rowOff>
    </xdr:to>
    <xdr:sp macro="" textlink="">
      <xdr:nvSpPr>
        <xdr:cNvPr id="143" name="Line 7">
          <a:extLst>
            <a:ext uri="{FF2B5EF4-FFF2-40B4-BE49-F238E27FC236}">
              <a16:creationId xmlns:a16="http://schemas.microsoft.com/office/drawing/2014/main" id="{7210F63C-C85C-4574-9AA1-94F1F99487B7}"/>
            </a:ext>
          </a:extLst>
        </xdr:cNvPr>
        <xdr:cNvSpPr>
          <a:spLocks noChangeShapeType="1"/>
        </xdr:cNvSpPr>
      </xdr:nvSpPr>
      <xdr:spPr bwMode="auto">
        <a:xfrm>
          <a:off x="12553950" y="19431000"/>
          <a:ext cx="0" cy="18415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16</xdr:col>
      <xdr:colOff>401551</xdr:colOff>
      <xdr:row>106</xdr:row>
      <xdr:rowOff>34839</xdr:rowOff>
    </xdr:from>
    <xdr:to>
      <xdr:col>23</xdr:col>
      <xdr:colOff>46529</xdr:colOff>
      <xdr:row>131</xdr:row>
      <xdr:rowOff>147333</xdr:rowOff>
    </xdr:to>
    <xdr:sp macro="" textlink="">
      <xdr:nvSpPr>
        <xdr:cNvPr id="9" name="Chord 8">
          <a:extLst>
            <a:ext uri="{FF2B5EF4-FFF2-40B4-BE49-F238E27FC236}">
              <a16:creationId xmlns:a16="http://schemas.microsoft.com/office/drawing/2014/main" id="{D43A2D3A-4B03-4758-9B95-4C7B47869A62}"/>
            </a:ext>
          </a:extLst>
        </xdr:cNvPr>
        <xdr:cNvSpPr/>
      </xdr:nvSpPr>
      <xdr:spPr bwMode="auto">
        <a:xfrm rot="9669826">
          <a:off x="14469976" y="17951364"/>
          <a:ext cx="3921703" cy="4217769"/>
        </a:xfrm>
        <a:prstGeom prst="chord">
          <a:avLst>
            <a:gd name="adj1" fmla="val 2700000"/>
            <a:gd name="adj2" fmla="val 10280134"/>
          </a:avLst>
        </a:prstGeom>
        <a:solidFill>
          <a:schemeClr val="accent5">
            <a:lumMod val="60000"/>
            <a:lumOff val="40000"/>
          </a:schemeClr>
        </a:solidFill>
        <a:ln w="9525" cap="flat" cmpd="sng" algn="ctr">
          <a:solidFill>
            <a:sysClr val="windowText" lastClr="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19</xdr:col>
      <xdr:colOff>280987</xdr:colOff>
      <xdr:row>87</xdr:row>
      <xdr:rowOff>23813</xdr:rowOff>
    </xdr:from>
    <xdr:to>
      <xdr:col>19</xdr:col>
      <xdr:colOff>519112</xdr:colOff>
      <xdr:row>89</xdr:row>
      <xdr:rowOff>33338</xdr:rowOff>
    </xdr:to>
    <xdr:sp macro="" textlink="">
      <xdr:nvSpPr>
        <xdr:cNvPr id="11" name="Cube 10">
          <a:extLst>
            <a:ext uri="{FF2B5EF4-FFF2-40B4-BE49-F238E27FC236}">
              <a16:creationId xmlns:a16="http://schemas.microsoft.com/office/drawing/2014/main" id="{CD0D2D32-77C5-49CD-9194-B158A6721D19}"/>
            </a:ext>
          </a:extLst>
        </xdr:cNvPr>
        <xdr:cNvSpPr/>
      </xdr:nvSpPr>
      <xdr:spPr bwMode="auto">
        <a:xfrm rot="5340000">
          <a:off x="16125825" y="14506575"/>
          <a:ext cx="342900" cy="238125"/>
        </a:xfrm>
        <a:prstGeom prst="cube">
          <a:avLst/>
        </a:prstGeom>
        <a:solidFill>
          <a:schemeClr val="accent1"/>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19</xdr:col>
      <xdr:colOff>333375</xdr:colOff>
      <xdr:row>88</xdr:row>
      <xdr:rowOff>161925</xdr:rowOff>
    </xdr:from>
    <xdr:to>
      <xdr:col>19</xdr:col>
      <xdr:colOff>466725</xdr:colOff>
      <xdr:row>89</xdr:row>
      <xdr:rowOff>19050</xdr:rowOff>
    </xdr:to>
    <xdr:sp macro="" textlink="">
      <xdr:nvSpPr>
        <xdr:cNvPr id="12" name="Oval 11">
          <a:extLst>
            <a:ext uri="{FF2B5EF4-FFF2-40B4-BE49-F238E27FC236}">
              <a16:creationId xmlns:a16="http://schemas.microsoft.com/office/drawing/2014/main" id="{C231366D-1EFB-40E0-8CF0-5EA4414CF5AF}"/>
            </a:ext>
          </a:extLst>
        </xdr:cNvPr>
        <xdr:cNvSpPr/>
      </xdr:nvSpPr>
      <xdr:spPr bwMode="auto">
        <a:xfrm>
          <a:off x="16230600" y="14925675"/>
          <a:ext cx="133350" cy="28575"/>
        </a:xfrm>
        <a:prstGeom prst="ellips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19</xdr:col>
      <xdr:colOff>409575</xdr:colOff>
      <xdr:row>89</xdr:row>
      <xdr:rowOff>95250</xdr:rowOff>
    </xdr:from>
    <xdr:to>
      <xdr:col>19</xdr:col>
      <xdr:colOff>493212</xdr:colOff>
      <xdr:row>113</xdr:row>
      <xdr:rowOff>109095</xdr:rowOff>
    </xdr:to>
    <xdr:cxnSp macro="">
      <xdr:nvCxnSpPr>
        <xdr:cNvPr id="14" name="Straight Connector 13">
          <a:extLst>
            <a:ext uri="{FF2B5EF4-FFF2-40B4-BE49-F238E27FC236}">
              <a16:creationId xmlns:a16="http://schemas.microsoft.com/office/drawing/2014/main" id="{BB6D54A0-741E-40CB-993D-05BE343C430A}"/>
            </a:ext>
          </a:extLst>
        </xdr:cNvPr>
        <xdr:cNvCxnSpPr>
          <a:endCxn id="9" idx="2"/>
        </xdr:cNvCxnSpPr>
      </xdr:nvCxnSpPr>
      <xdr:spPr bwMode="auto">
        <a:xfrm>
          <a:off x="16306800" y="15020925"/>
          <a:ext cx="83637" cy="4138170"/>
        </a:xfrm>
        <a:prstGeom prst="line">
          <a:avLst/>
        </a:prstGeom>
        <a:solidFill>
          <a:srgbClr val="FFFFFF"/>
        </a:solidFill>
        <a:ln w="9525" cap="flat" cmpd="sng" algn="ctr">
          <a:solidFill>
            <a:srgbClr val="000000"/>
          </a:solidFill>
          <a:prstDash val="lgDashDotDot"/>
          <a:round/>
          <a:headEnd type="none" w="med" len="med"/>
          <a:tailEnd type="none" w="med" len="med"/>
        </a:ln>
        <a:effectLst/>
      </xdr:spPr>
    </xdr:cxnSp>
    <xdr:clientData/>
  </xdr:twoCellAnchor>
  <xdr:twoCellAnchor>
    <xdr:from>
      <xdr:col>16</xdr:col>
      <xdr:colOff>539654</xdr:colOff>
      <xdr:row>89</xdr:row>
      <xdr:rowOff>114300</xdr:rowOff>
    </xdr:from>
    <xdr:to>
      <xdr:col>19</xdr:col>
      <xdr:colOff>400052</xdr:colOff>
      <xdr:row>113</xdr:row>
      <xdr:rowOff>114777</xdr:rowOff>
    </xdr:to>
    <xdr:cxnSp macro="">
      <xdr:nvCxnSpPr>
        <xdr:cNvPr id="164" name="Straight Connector 163">
          <a:extLst>
            <a:ext uri="{FF2B5EF4-FFF2-40B4-BE49-F238E27FC236}">
              <a16:creationId xmlns:a16="http://schemas.microsoft.com/office/drawing/2014/main" id="{027742DD-EAD1-4209-8208-17B2C816E971}"/>
            </a:ext>
          </a:extLst>
        </xdr:cNvPr>
        <xdr:cNvCxnSpPr>
          <a:endCxn id="9" idx="0"/>
        </xdr:cNvCxnSpPr>
      </xdr:nvCxnSpPr>
      <xdr:spPr bwMode="auto">
        <a:xfrm flipH="1">
          <a:off x="14608079" y="15039975"/>
          <a:ext cx="1689198" cy="4124802"/>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twoCellAnchor>
    <xdr:from>
      <xdr:col>17</xdr:col>
      <xdr:colOff>504825</xdr:colOff>
      <xdr:row>89</xdr:row>
      <xdr:rowOff>123825</xdr:rowOff>
    </xdr:from>
    <xdr:to>
      <xdr:col>19</xdr:col>
      <xdr:colOff>409578</xdr:colOff>
      <xdr:row>108</xdr:row>
      <xdr:rowOff>123825</xdr:rowOff>
    </xdr:to>
    <xdr:cxnSp macro="">
      <xdr:nvCxnSpPr>
        <xdr:cNvPr id="165" name="Straight Connector 164">
          <a:extLst>
            <a:ext uri="{FF2B5EF4-FFF2-40B4-BE49-F238E27FC236}">
              <a16:creationId xmlns:a16="http://schemas.microsoft.com/office/drawing/2014/main" id="{CAA86374-9366-4F80-A1CE-312D74B85B64}"/>
            </a:ext>
          </a:extLst>
        </xdr:cNvPr>
        <xdr:cNvCxnSpPr/>
      </xdr:nvCxnSpPr>
      <xdr:spPr bwMode="auto">
        <a:xfrm flipH="1">
          <a:off x="15182850" y="14887575"/>
          <a:ext cx="1123953" cy="3162300"/>
        </a:xfrm>
        <a:prstGeom prst="line">
          <a:avLst/>
        </a:prstGeom>
        <a:ln w="19050">
          <a:headEnd type="none" w="med" len="med"/>
          <a:tailEnd type="none"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16</xdr:col>
      <xdr:colOff>266700</xdr:colOff>
      <xdr:row>89</xdr:row>
      <xdr:rowOff>76200</xdr:rowOff>
    </xdr:from>
    <xdr:to>
      <xdr:col>19</xdr:col>
      <xdr:colOff>409579</xdr:colOff>
      <xdr:row>113</xdr:row>
      <xdr:rowOff>142875</xdr:rowOff>
    </xdr:to>
    <xdr:cxnSp macro="">
      <xdr:nvCxnSpPr>
        <xdr:cNvPr id="167" name="Straight Connector 166">
          <a:extLst>
            <a:ext uri="{FF2B5EF4-FFF2-40B4-BE49-F238E27FC236}">
              <a16:creationId xmlns:a16="http://schemas.microsoft.com/office/drawing/2014/main" id="{FF18998B-DAE2-4719-B4F7-57C6D50F1C2F}"/>
            </a:ext>
          </a:extLst>
        </xdr:cNvPr>
        <xdr:cNvCxnSpPr/>
      </xdr:nvCxnSpPr>
      <xdr:spPr bwMode="auto">
        <a:xfrm flipH="1">
          <a:off x="14335125" y="15011400"/>
          <a:ext cx="1971679" cy="4276725"/>
        </a:xfrm>
        <a:prstGeom prst="line">
          <a:avLst/>
        </a:prstGeom>
        <a:ln w="19050">
          <a:solidFill>
            <a:schemeClr val="tx2"/>
          </a:solidFill>
          <a:prstDash val="dash"/>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19</xdr:col>
      <xdr:colOff>409575</xdr:colOff>
      <xdr:row>89</xdr:row>
      <xdr:rowOff>95250</xdr:rowOff>
    </xdr:from>
    <xdr:to>
      <xdr:col>23</xdr:col>
      <xdr:colOff>66675</xdr:colOff>
      <xdr:row>113</xdr:row>
      <xdr:rowOff>104775</xdr:rowOff>
    </xdr:to>
    <xdr:cxnSp macro="">
      <xdr:nvCxnSpPr>
        <xdr:cNvPr id="170" name="Straight Connector 169">
          <a:extLst>
            <a:ext uri="{FF2B5EF4-FFF2-40B4-BE49-F238E27FC236}">
              <a16:creationId xmlns:a16="http://schemas.microsoft.com/office/drawing/2014/main" id="{AD838130-CBD3-4FBD-BD29-D73EA50B39B8}"/>
            </a:ext>
          </a:extLst>
        </xdr:cNvPr>
        <xdr:cNvCxnSpPr/>
      </xdr:nvCxnSpPr>
      <xdr:spPr bwMode="auto">
        <a:xfrm>
          <a:off x="16306800" y="15030450"/>
          <a:ext cx="2105025" cy="4219575"/>
        </a:xfrm>
        <a:prstGeom prst="line">
          <a:avLst/>
        </a:prstGeom>
        <a:ln w="19050">
          <a:solidFill>
            <a:schemeClr val="tx2"/>
          </a:solidFill>
          <a:prstDash val="dash"/>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oneCellAnchor>
    <xdr:from>
      <xdr:col>18</xdr:col>
      <xdr:colOff>142875</xdr:colOff>
      <xdr:row>110</xdr:row>
      <xdr:rowOff>66675</xdr:rowOff>
    </xdr:from>
    <xdr:ext cx="392095" cy="288412"/>
    <xdr:sp macro="" textlink="">
      <xdr:nvSpPr>
        <xdr:cNvPr id="29" name="TextBox 28">
          <a:extLst>
            <a:ext uri="{FF2B5EF4-FFF2-40B4-BE49-F238E27FC236}">
              <a16:creationId xmlns:a16="http://schemas.microsoft.com/office/drawing/2014/main" id="{00A60BF9-B372-4F12-B8BC-3F8BAD466B05}"/>
            </a:ext>
          </a:extLst>
        </xdr:cNvPr>
        <xdr:cNvSpPr txBox="1"/>
      </xdr:nvSpPr>
      <xdr:spPr>
        <a:xfrm>
          <a:off x="15430500" y="18478500"/>
          <a:ext cx="392095"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olidFill>
                <a:sysClr val="windowText" lastClr="000000"/>
              </a:solidFill>
              <a:sym typeface="Symbol" panose="05050102010706020507" pitchFamily="18" charset="2"/>
            </a:rPr>
            <a:t>/2</a:t>
          </a:r>
          <a:endParaRPr lang="en-AU" sz="1200" b="1">
            <a:solidFill>
              <a:sysClr val="windowText" lastClr="000000"/>
            </a:solidFill>
          </a:endParaRPr>
        </a:p>
      </xdr:txBody>
    </xdr:sp>
    <xdr:clientData/>
  </xdr:oneCellAnchor>
  <xdr:twoCellAnchor>
    <xdr:from>
      <xdr:col>17</xdr:col>
      <xdr:colOff>523875</xdr:colOff>
      <xdr:row>105</xdr:row>
      <xdr:rowOff>133350</xdr:rowOff>
    </xdr:from>
    <xdr:to>
      <xdr:col>18</xdr:col>
      <xdr:colOff>600075</xdr:colOff>
      <xdr:row>108</xdr:row>
      <xdr:rowOff>104776</xdr:rowOff>
    </xdr:to>
    <xdr:cxnSp macro="">
      <xdr:nvCxnSpPr>
        <xdr:cNvPr id="31" name="Straight Connector 30">
          <a:extLst>
            <a:ext uri="{FF2B5EF4-FFF2-40B4-BE49-F238E27FC236}">
              <a16:creationId xmlns:a16="http://schemas.microsoft.com/office/drawing/2014/main" id="{B9084EA9-E640-431B-B0B2-D702E082432B}"/>
            </a:ext>
          </a:extLst>
        </xdr:cNvPr>
        <xdr:cNvCxnSpPr/>
      </xdr:nvCxnSpPr>
      <xdr:spPr bwMode="auto">
        <a:xfrm flipV="1">
          <a:off x="15201900" y="17573625"/>
          <a:ext cx="685800" cy="457201"/>
        </a:xfrm>
        <a:prstGeom prst="line">
          <a:avLst/>
        </a:prstGeom>
        <a:ln w="19050">
          <a:headEnd type="none" w="med" len="med"/>
          <a:tailEnd type="none" w="med" len="med"/>
        </a:ln>
      </xdr:spPr>
      <xdr:style>
        <a:lnRef idx="1">
          <a:schemeClr val="accent2"/>
        </a:lnRef>
        <a:fillRef idx="0">
          <a:schemeClr val="accent2"/>
        </a:fillRef>
        <a:effectRef idx="0">
          <a:schemeClr val="accent2"/>
        </a:effectRef>
        <a:fontRef idx="minor">
          <a:schemeClr val="tx1"/>
        </a:fontRef>
      </xdr:style>
    </xdr:cxnSp>
    <xdr:clientData/>
  </xdr:twoCellAnchor>
  <xdr:oneCellAnchor>
    <xdr:from>
      <xdr:col>18</xdr:col>
      <xdr:colOff>47625</xdr:colOff>
      <xdr:row>105</xdr:row>
      <xdr:rowOff>95250</xdr:rowOff>
    </xdr:from>
    <xdr:ext cx="252313" cy="288412"/>
    <xdr:sp macro="" textlink="">
      <xdr:nvSpPr>
        <xdr:cNvPr id="33" name="TextBox 32">
          <a:extLst>
            <a:ext uri="{FF2B5EF4-FFF2-40B4-BE49-F238E27FC236}">
              <a16:creationId xmlns:a16="http://schemas.microsoft.com/office/drawing/2014/main" id="{E7393972-0026-4283-AE93-DEE65B268F5C}"/>
            </a:ext>
          </a:extLst>
        </xdr:cNvPr>
        <xdr:cNvSpPr txBox="1"/>
      </xdr:nvSpPr>
      <xdr:spPr>
        <a:xfrm>
          <a:off x="15335250" y="17535525"/>
          <a:ext cx="252313"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oneCellAnchor>
    <xdr:from>
      <xdr:col>18</xdr:col>
      <xdr:colOff>504825</xdr:colOff>
      <xdr:row>101</xdr:row>
      <xdr:rowOff>95250</xdr:rowOff>
    </xdr:from>
    <xdr:ext cx="269176" cy="288412"/>
    <xdr:sp macro="" textlink="">
      <xdr:nvSpPr>
        <xdr:cNvPr id="34" name="TextBox 33">
          <a:extLst>
            <a:ext uri="{FF2B5EF4-FFF2-40B4-BE49-F238E27FC236}">
              <a16:creationId xmlns:a16="http://schemas.microsoft.com/office/drawing/2014/main" id="{FEC7CB61-8D93-432D-A5CF-B1082D51DB84}"/>
            </a:ext>
          </a:extLst>
        </xdr:cNvPr>
        <xdr:cNvSpPr txBox="1"/>
      </xdr:nvSpPr>
      <xdr:spPr>
        <a:xfrm>
          <a:off x="15792450" y="17249775"/>
          <a:ext cx="269176"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oneCellAnchor>
    <xdr:from>
      <xdr:col>19</xdr:col>
      <xdr:colOff>57150</xdr:colOff>
      <xdr:row>96</xdr:row>
      <xdr:rowOff>0</xdr:rowOff>
    </xdr:from>
    <xdr:ext cx="277512" cy="288412"/>
    <xdr:sp macro="" textlink="">
      <xdr:nvSpPr>
        <xdr:cNvPr id="35" name="TextBox 34">
          <a:extLst>
            <a:ext uri="{FF2B5EF4-FFF2-40B4-BE49-F238E27FC236}">
              <a16:creationId xmlns:a16="http://schemas.microsoft.com/office/drawing/2014/main" id="{DD90E99E-FD4D-4333-9B3F-6E9D8E1F440B}"/>
            </a:ext>
          </a:extLst>
        </xdr:cNvPr>
        <xdr:cNvSpPr txBox="1"/>
      </xdr:nvSpPr>
      <xdr:spPr>
        <a:xfrm>
          <a:off x="15954375" y="16106775"/>
          <a:ext cx="277512"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twoCellAnchor>
    <xdr:from>
      <xdr:col>13</xdr:col>
      <xdr:colOff>360985</xdr:colOff>
      <xdr:row>79</xdr:row>
      <xdr:rowOff>46832</xdr:rowOff>
    </xdr:from>
    <xdr:to>
      <xdr:col>24</xdr:col>
      <xdr:colOff>206220</xdr:colOff>
      <xdr:row>111</xdr:row>
      <xdr:rowOff>88768</xdr:rowOff>
    </xdr:to>
    <xdr:sp macro="" textlink="">
      <xdr:nvSpPr>
        <xdr:cNvPr id="36" name="Arc 35">
          <a:extLst>
            <a:ext uri="{FF2B5EF4-FFF2-40B4-BE49-F238E27FC236}">
              <a16:creationId xmlns:a16="http://schemas.microsoft.com/office/drawing/2014/main" id="{E0E39E35-4926-4BD4-AC7D-70DC339F1FD0}"/>
            </a:ext>
          </a:extLst>
        </xdr:cNvPr>
        <xdr:cNvSpPr/>
      </xdr:nvSpPr>
      <xdr:spPr bwMode="auto">
        <a:xfrm rot="11280041">
          <a:off x="12581560" y="13267532"/>
          <a:ext cx="6579410" cy="5394986"/>
        </a:xfrm>
        <a:prstGeom prst="arc">
          <a:avLst>
            <a:gd name="adj1" fmla="val 16200000"/>
            <a:gd name="adj2" fmla="val 17037532"/>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14</xdr:col>
      <xdr:colOff>141910</xdr:colOff>
      <xdr:row>79</xdr:row>
      <xdr:rowOff>132557</xdr:rowOff>
    </xdr:from>
    <xdr:to>
      <xdr:col>24</xdr:col>
      <xdr:colOff>596745</xdr:colOff>
      <xdr:row>112</xdr:row>
      <xdr:rowOff>12568</xdr:rowOff>
    </xdr:to>
    <xdr:sp macro="" textlink="">
      <xdr:nvSpPr>
        <xdr:cNvPr id="180" name="Arc 179">
          <a:extLst>
            <a:ext uri="{FF2B5EF4-FFF2-40B4-BE49-F238E27FC236}">
              <a16:creationId xmlns:a16="http://schemas.microsoft.com/office/drawing/2014/main" id="{B96D6C71-C997-4BF9-9324-D5D487B033D4}"/>
            </a:ext>
          </a:extLst>
        </xdr:cNvPr>
        <xdr:cNvSpPr/>
      </xdr:nvSpPr>
      <xdr:spPr bwMode="auto">
        <a:xfrm rot="11452529" flipH="1">
          <a:off x="12972085" y="13353257"/>
          <a:ext cx="6579410" cy="5547386"/>
        </a:xfrm>
        <a:prstGeom prst="arc">
          <a:avLst>
            <a:gd name="adj1" fmla="val 16200000"/>
            <a:gd name="adj2" fmla="val 17037532"/>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17</xdr:col>
      <xdr:colOff>582202</xdr:colOff>
      <xdr:row>94</xdr:row>
      <xdr:rowOff>54241</xdr:rowOff>
    </xdr:from>
    <xdr:to>
      <xdr:col>20</xdr:col>
      <xdr:colOff>227421</xdr:colOff>
      <xdr:row>102</xdr:row>
      <xdr:rowOff>50533</xdr:rowOff>
    </xdr:to>
    <xdr:sp macro="" textlink="">
      <xdr:nvSpPr>
        <xdr:cNvPr id="183" name="Arc 182">
          <a:extLst>
            <a:ext uri="{FF2B5EF4-FFF2-40B4-BE49-F238E27FC236}">
              <a16:creationId xmlns:a16="http://schemas.microsoft.com/office/drawing/2014/main" id="{E5D4A7A0-122B-4041-A1D2-1506715ECE5C}"/>
            </a:ext>
          </a:extLst>
        </xdr:cNvPr>
        <xdr:cNvSpPr/>
      </xdr:nvSpPr>
      <xdr:spPr bwMode="auto">
        <a:xfrm rot="11805058">
          <a:off x="15260227" y="15818116"/>
          <a:ext cx="1474019" cy="1348842"/>
        </a:xfrm>
        <a:prstGeom prst="arc">
          <a:avLst>
            <a:gd name="adj1" fmla="val 15849070"/>
            <a:gd name="adj2" fmla="val 18100460"/>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17</xdr:col>
      <xdr:colOff>598742</xdr:colOff>
      <xdr:row>92</xdr:row>
      <xdr:rowOff>150636</xdr:rowOff>
    </xdr:from>
    <xdr:to>
      <xdr:col>21</xdr:col>
      <xdr:colOff>248982</xdr:colOff>
      <xdr:row>102</xdr:row>
      <xdr:rowOff>125586</xdr:rowOff>
    </xdr:to>
    <xdr:sp macro="" textlink="">
      <xdr:nvSpPr>
        <xdr:cNvPr id="184" name="Arc 183">
          <a:extLst>
            <a:ext uri="{FF2B5EF4-FFF2-40B4-BE49-F238E27FC236}">
              <a16:creationId xmlns:a16="http://schemas.microsoft.com/office/drawing/2014/main" id="{B4CE2A26-1115-4A98-A01D-A8A33F07EEDD}"/>
            </a:ext>
          </a:extLst>
        </xdr:cNvPr>
        <xdr:cNvSpPr/>
      </xdr:nvSpPr>
      <xdr:spPr bwMode="auto">
        <a:xfrm rot="11126015" flipH="1">
          <a:off x="15276767" y="15581136"/>
          <a:ext cx="2098165" cy="1660875"/>
        </a:xfrm>
        <a:prstGeom prst="arc">
          <a:avLst>
            <a:gd name="adj1" fmla="val 15320386"/>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18</xdr:col>
      <xdr:colOff>461001</xdr:colOff>
      <xdr:row>90</xdr:row>
      <xdr:rowOff>45489</xdr:rowOff>
    </xdr:from>
    <xdr:to>
      <xdr:col>20</xdr:col>
      <xdr:colOff>391783</xdr:colOff>
      <xdr:row>97</xdr:row>
      <xdr:rowOff>52975</xdr:rowOff>
    </xdr:to>
    <xdr:sp macro="" textlink="">
      <xdr:nvSpPr>
        <xdr:cNvPr id="185" name="Arc 184">
          <a:extLst>
            <a:ext uri="{FF2B5EF4-FFF2-40B4-BE49-F238E27FC236}">
              <a16:creationId xmlns:a16="http://schemas.microsoft.com/office/drawing/2014/main" id="{39CFB3F1-C45B-46EC-9872-86F7FE1F6613}"/>
            </a:ext>
          </a:extLst>
        </xdr:cNvPr>
        <xdr:cNvSpPr/>
      </xdr:nvSpPr>
      <xdr:spPr bwMode="auto">
        <a:xfrm rot="11126015" flipH="1">
          <a:off x="15748626" y="15142614"/>
          <a:ext cx="1149982" cy="1179061"/>
        </a:xfrm>
        <a:prstGeom prst="arc">
          <a:avLst>
            <a:gd name="adj1" fmla="val 15512518"/>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18</xdr:col>
      <xdr:colOff>298358</xdr:colOff>
      <xdr:row>89</xdr:row>
      <xdr:rowOff>146483</xdr:rowOff>
    </xdr:from>
    <xdr:to>
      <xdr:col>20</xdr:col>
      <xdr:colOff>206343</xdr:colOff>
      <xdr:row>97</xdr:row>
      <xdr:rowOff>4135</xdr:rowOff>
    </xdr:to>
    <xdr:sp macro="" textlink="">
      <xdr:nvSpPr>
        <xdr:cNvPr id="186" name="Arc 185">
          <a:extLst>
            <a:ext uri="{FF2B5EF4-FFF2-40B4-BE49-F238E27FC236}">
              <a16:creationId xmlns:a16="http://schemas.microsoft.com/office/drawing/2014/main" id="{9B9536C4-C9F4-489D-BD09-2338F63047C3}"/>
            </a:ext>
          </a:extLst>
        </xdr:cNvPr>
        <xdr:cNvSpPr/>
      </xdr:nvSpPr>
      <xdr:spPr bwMode="auto">
        <a:xfrm rot="11805058">
          <a:off x="15585983" y="15081683"/>
          <a:ext cx="1127185" cy="1324502"/>
        </a:xfrm>
        <a:prstGeom prst="arc">
          <a:avLst>
            <a:gd name="adj1" fmla="val 15849070"/>
            <a:gd name="adj2" fmla="val 16733727"/>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15</xdr:col>
      <xdr:colOff>598742</xdr:colOff>
      <xdr:row>105</xdr:row>
      <xdr:rowOff>17286</xdr:rowOff>
    </xdr:from>
    <xdr:to>
      <xdr:col>19</xdr:col>
      <xdr:colOff>248982</xdr:colOff>
      <xdr:row>115</xdr:row>
      <xdr:rowOff>49386</xdr:rowOff>
    </xdr:to>
    <xdr:sp macro="" textlink="">
      <xdr:nvSpPr>
        <xdr:cNvPr id="187" name="Arc 186">
          <a:extLst>
            <a:ext uri="{FF2B5EF4-FFF2-40B4-BE49-F238E27FC236}">
              <a16:creationId xmlns:a16="http://schemas.microsoft.com/office/drawing/2014/main" id="{D43B9650-FF6F-48C7-BA15-4B9F53AD9DC5}"/>
            </a:ext>
          </a:extLst>
        </xdr:cNvPr>
        <xdr:cNvSpPr/>
      </xdr:nvSpPr>
      <xdr:spPr bwMode="auto">
        <a:xfrm rot="1750245" flipH="1">
          <a:off x="14048042" y="17619486"/>
          <a:ext cx="2098165" cy="1660875"/>
        </a:xfrm>
        <a:prstGeom prst="arc">
          <a:avLst>
            <a:gd name="adj1" fmla="val 15320386"/>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19</xdr:col>
      <xdr:colOff>361950</xdr:colOff>
      <xdr:row>85</xdr:row>
      <xdr:rowOff>152400</xdr:rowOff>
    </xdr:from>
    <xdr:to>
      <xdr:col>19</xdr:col>
      <xdr:colOff>367297</xdr:colOff>
      <xdr:row>87</xdr:row>
      <xdr:rowOff>24358</xdr:rowOff>
    </xdr:to>
    <xdr:cxnSp macro="">
      <xdr:nvCxnSpPr>
        <xdr:cNvPr id="188" name="Straight Connector 187">
          <a:extLst>
            <a:ext uri="{FF2B5EF4-FFF2-40B4-BE49-F238E27FC236}">
              <a16:creationId xmlns:a16="http://schemas.microsoft.com/office/drawing/2014/main" id="{A9FC86D1-CD0C-4FFA-AAC5-6016CF58F272}"/>
            </a:ext>
          </a:extLst>
        </xdr:cNvPr>
        <xdr:cNvCxnSpPr>
          <a:endCxn id="11" idx="2"/>
        </xdr:cNvCxnSpPr>
      </xdr:nvCxnSpPr>
      <xdr:spPr bwMode="auto">
        <a:xfrm>
          <a:off x="16259175" y="14373225"/>
          <a:ext cx="5347" cy="243433"/>
        </a:xfrm>
        <a:prstGeom prst="line">
          <a:avLst/>
        </a:prstGeom>
        <a:solidFill>
          <a:srgbClr val="FFFFFF"/>
        </a:solidFill>
        <a:ln w="9525" cap="flat" cmpd="sng" algn="ctr">
          <a:solidFill>
            <a:srgbClr val="000000"/>
          </a:solidFill>
          <a:prstDash val="dash"/>
          <a:round/>
          <a:headEnd type="none" w="med" len="med"/>
          <a:tailEnd type="none" w="med" len="med"/>
        </a:ln>
        <a:effectLst/>
      </xdr:spPr>
    </xdr:cxnSp>
    <xdr:clientData/>
  </xdr:twoCellAnchor>
  <xdr:twoCellAnchor>
    <xdr:from>
      <xdr:col>19</xdr:col>
      <xdr:colOff>161925</xdr:colOff>
      <xdr:row>85</xdr:row>
      <xdr:rowOff>152400</xdr:rowOff>
    </xdr:from>
    <xdr:to>
      <xdr:col>19</xdr:col>
      <xdr:colOff>367297</xdr:colOff>
      <xdr:row>87</xdr:row>
      <xdr:rowOff>24358</xdr:rowOff>
    </xdr:to>
    <xdr:cxnSp macro="">
      <xdr:nvCxnSpPr>
        <xdr:cNvPr id="198" name="Straight Connector 197">
          <a:extLst>
            <a:ext uri="{FF2B5EF4-FFF2-40B4-BE49-F238E27FC236}">
              <a16:creationId xmlns:a16="http://schemas.microsoft.com/office/drawing/2014/main" id="{E6CEABA2-2FFA-4A74-AE31-E77EA702BFE2}"/>
            </a:ext>
          </a:extLst>
        </xdr:cNvPr>
        <xdr:cNvCxnSpPr>
          <a:endCxn id="11" idx="2"/>
        </xdr:cNvCxnSpPr>
      </xdr:nvCxnSpPr>
      <xdr:spPr bwMode="auto">
        <a:xfrm>
          <a:off x="16059150" y="14373225"/>
          <a:ext cx="205372" cy="243433"/>
        </a:xfrm>
        <a:prstGeom prst="line">
          <a:avLst/>
        </a:prstGeom>
        <a:ln w="19050">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oneCellAnchor>
    <xdr:from>
      <xdr:col>19</xdr:col>
      <xdr:colOff>161925</xdr:colOff>
      <xdr:row>85</xdr:row>
      <xdr:rowOff>57150</xdr:rowOff>
    </xdr:from>
    <xdr:ext cx="264688" cy="264560"/>
    <xdr:sp macro="" textlink="">
      <xdr:nvSpPr>
        <xdr:cNvPr id="51" name="TextBox 50">
          <a:extLst>
            <a:ext uri="{FF2B5EF4-FFF2-40B4-BE49-F238E27FC236}">
              <a16:creationId xmlns:a16="http://schemas.microsoft.com/office/drawing/2014/main" id="{6BEAD887-9E86-4C78-A140-1F3C8CB74046}"/>
            </a:ext>
          </a:extLst>
        </xdr:cNvPr>
        <xdr:cNvSpPr txBox="1"/>
      </xdr:nvSpPr>
      <xdr:spPr>
        <a:xfrm>
          <a:off x="16059150" y="14277975"/>
          <a:ext cx="26468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l-GR" sz="1100">
              <a:latin typeface="Calibri" panose="020F0502020204030204" pitchFamily="34" charset="0"/>
              <a:cs typeface="Calibri" panose="020F0502020204030204" pitchFamily="34" charset="0"/>
            </a:rPr>
            <a:t>α</a:t>
          </a:r>
          <a:endParaRPr lang="en-AU" sz="1100"/>
        </a:p>
      </xdr:txBody>
    </xdr:sp>
    <xdr:clientData/>
  </xdr:oneCellAnchor>
  <xdr:twoCellAnchor>
    <xdr:from>
      <xdr:col>17</xdr:col>
      <xdr:colOff>451476</xdr:colOff>
      <xdr:row>80</xdr:row>
      <xdr:rowOff>55014</xdr:rowOff>
    </xdr:from>
    <xdr:to>
      <xdr:col>19</xdr:col>
      <xdr:colOff>382258</xdr:colOff>
      <xdr:row>87</xdr:row>
      <xdr:rowOff>33925</xdr:rowOff>
    </xdr:to>
    <xdr:sp macro="" textlink="">
      <xdr:nvSpPr>
        <xdr:cNvPr id="201" name="Arc 200">
          <a:extLst>
            <a:ext uri="{FF2B5EF4-FFF2-40B4-BE49-F238E27FC236}">
              <a16:creationId xmlns:a16="http://schemas.microsoft.com/office/drawing/2014/main" id="{2B6A3EB2-2D77-4385-B7A0-B66588A2FA41}"/>
            </a:ext>
          </a:extLst>
        </xdr:cNvPr>
        <xdr:cNvSpPr/>
      </xdr:nvSpPr>
      <xdr:spPr bwMode="auto">
        <a:xfrm rot="8678523" flipH="1">
          <a:off x="15129501" y="13447164"/>
          <a:ext cx="1149982" cy="1179061"/>
        </a:xfrm>
        <a:prstGeom prst="arc">
          <a:avLst>
            <a:gd name="adj1" fmla="val 15512518"/>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18</xdr:col>
      <xdr:colOff>175251</xdr:colOff>
      <xdr:row>79</xdr:row>
      <xdr:rowOff>16914</xdr:rowOff>
    </xdr:from>
    <xdr:to>
      <xdr:col>20</xdr:col>
      <xdr:colOff>106033</xdr:colOff>
      <xdr:row>86</xdr:row>
      <xdr:rowOff>33925</xdr:rowOff>
    </xdr:to>
    <xdr:sp macro="" textlink="">
      <xdr:nvSpPr>
        <xdr:cNvPr id="202" name="Arc 201">
          <a:extLst>
            <a:ext uri="{FF2B5EF4-FFF2-40B4-BE49-F238E27FC236}">
              <a16:creationId xmlns:a16="http://schemas.microsoft.com/office/drawing/2014/main" id="{F01F7262-ECEC-4D2C-86AB-4E0E756286B8}"/>
            </a:ext>
          </a:extLst>
        </xdr:cNvPr>
        <xdr:cNvSpPr/>
      </xdr:nvSpPr>
      <xdr:spPr bwMode="auto">
        <a:xfrm rot="8678523" flipH="1">
          <a:off x="15462876" y="13237614"/>
          <a:ext cx="1149982" cy="1179061"/>
        </a:xfrm>
        <a:prstGeom prst="arc">
          <a:avLst>
            <a:gd name="adj1" fmla="val 15512518"/>
            <a:gd name="adj2" fmla="val 16660249"/>
          </a:avLst>
        </a:prstGeom>
        <a:noFill/>
        <a:ln w="9525" cap="flat" cmpd="sng" algn="ctr">
          <a:solidFill>
            <a:srgbClr val="000000"/>
          </a:solidFill>
          <a:prstDash val="solid"/>
          <a:round/>
          <a:headEnd type="triangl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14</xdr:col>
      <xdr:colOff>180010</xdr:colOff>
      <xdr:row>72</xdr:row>
      <xdr:rowOff>46832</xdr:rowOff>
    </xdr:from>
    <xdr:to>
      <xdr:col>25</xdr:col>
      <xdr:colOff>25245</xdr:colOff>
      <xdr:row>104</xdr:row>
      <xdr:rowOff>41143</xdr:rowOff>
    </xdr:to>
    <xdr:sp macro="" textlink="">
      <xdr:nvSpPr>
        <xdr:cNvPr id="203" name="Arc 202">
          <a:extLst>
            <a:ext uri="{FF2B5EF4-FFF2-40B4-BE49-F238E27FC236}">
              <a16:creationId xmlns:a16="http://schemas.microsoft.com/office/drawing/2014/main" id="{E09288A4-514D-40DA-A321-ED98D24D5136}"/>
            </a:ext>
          </a:extLst>
        </xdr:cNvPr>
        <xdr:cNvSpPr/>
      </xdr:nvSpPr>
      <xdr:spPr bwMode="auto">
        <a:xfrm rot="11185679">
          <a:off x="13010185" y="12086432"/>
          <a:ext cx="6579410" cy="5394986"/>
        </a:xfrm>
        <a:prstGeom prst="arc">
          <a:avLst>
            <a:gd name="adj1" fmla="val 14313654"/>
            <a:gd name="adj2" fmla="val 17239568"/>
          </a:avLst>
        </a:prstGeom>
        <a:noFill/>
        <a:ln w="9525" cap="flat" cmpd="sng" algn="ctr">
          <a:solidFill>
            <a:srgbClr val="000000"/>
          </a:solidFill>
          <a:prstDash val="solid"/>
          <a:round/>
          <a:headEnd type="triangle" w="med" len="med"/>
          <a:tailEnd type="triangle" w="med" len="med"/>
        </a:ln>
        <a:effectLst/>
      </xdr:spPr>
      <xdr:txBody>
        <a:bodyPr vertOverflow="clip" wrap="square" lIns="18288" tIns="0" rIns="0" bIns="0" rtlCol="0" anchor="ctr" upright="1"/>
        <a:lstStyle/>
        <a:p>
          <a:pPr algn="l"/>
          <a:endParaRPr lang="en-AU" sz="1100"/>
        </a:p>
      </xdr:txBody>
    </xdr:sp>
    <xdr:clientData/>
  </xdr:twoCellAnchor>
  <xdr:oneCellAnchor>
    <xdr:from>
      <xdr:col>19</xdr:col>
      <xdr:colOff>114300</xdr:colOff>
      <xdr:row>103</xdr:row>
      <xdr:rowOff>47625</xdr:rowOff>
    </xdr:from>
    <xdr:ext cx="700256" cy="428259"/>
    <xdr:sp macro="" textlink="">
      <xdr:nvSpPr>
        <xdr:cNvPr id="52" name="TextBox 51">
          <a:extLst>
            <a:ext uri="{FF2B5EF4-FFF2-40B4-BE49-F238E27FC236}">
              <a16:creationId xmlns:a16="http://schemas.microsoft.com/office/drawing/2014/main" id="{B73B3869-1010-4ED8-9D87-FCFF5C080396}"/>
            </a:ext>
          </a:extLst>
        </xdr:cNvPr>
        <xdr:cNvSpPr txBox="1"/>
      </xdr:nvSpPr>
      <xdr:spPr>
        <a:xfrm>
          <a:off x="16011525" y="17364075"/>
          <a:ext cx="700256" cy="428259"/>
        </a:xfrm>
        <a:prstGeom prst="rect">
          <a:avLst/>
        </a:prstGeom>
        <a:solidFill>
          <a:schemeClr val="bg1">
            <a:lumMod val="6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AU" sz="1050" b="1"/>
            <a:t>-3 dB BW</a:t>
          </a:r>
        </a:p>
        <a:p>
          <a:pPr algn="ctr"/>
          <a:r>
            <a:rPr lang="en-AU" sz="1050" b="1"/>
            <a:t>(</a:t>
          </a:r>
          <a:r>
            <a:rPr lang="en-AU" sz="1050" b="1">
              <a:sym typeface="Symbol" panose="05050102010706020507" pitchFamily="18" charset="2"/>
            </a:rPr>
            <a:t>)</a:t>
          </a:r>
          <a:r>
            <a:rPr lang="en-AU" sz="800" b="1">
              <a:sym typeface="Symbol" panose="05050102010706020507" pitchFamily="18" charset="2"/>
            </a:rPr>
            <a:t>ul or dl</a:t>
          </a:r>
          <a:endParaRPr lang="en-AU" sz="1050" b="1"/>
        </a:p>
      </xdr:txBody>
    </xdr:sp>
    <xdr:clientData/>
  </xdr:oneCellAnchor>
  <xdr:oneCellAnchor>
    <xdr:from>
      <xdr:col>17</xdr:col>
      <xdr:colOff>542925</xdr:colOff>
      <xdr:row>108</xdr:row>
      <xdr:rowOff>19050</xdr:rowOff>
    </xdr:from>
    <xdr:ext cx="767069" cy="217560"/>
    <xdr:sp macro="" textlink="">
      <xdr:nvSpPr>
        <xdr:cNvPr id="144" name="TextBox 143">
          <a:extLst>
            <a:ext uri="{FF2B5EF4-FFF2-40B4-BE49-F238E27FC236}">
              <a16:creationId xmlns:a16="http://schemas.microsoft.com/office/drawing/2014/main" id="{F47A33F9-F80E-42A0-90CF-336E6999C87F}"/>
            </a:ext>
          </a:extLst>
        </xdr:cNvPr>
        <xdr:cNvSpPr txBox="1"/>
      </xdr:nvSpPr>
      <xdr:spPr>
        <a:xfrm>
          <a:off x="15220950" y="18354675"/>
          <a:ext cx="767069"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800" b="1"/>
            <a:t>User Location</a:t>
          </a:r>
        </a:p>
      </xdr:txBody>
    </xdr:sp>
    <xdr:clientData/>
  </xdr:oneCellAnchor>
  <xdr:twoCellAnchor>
    <xdr:from>
      <xdr:col>17</xdr:col>
      <xdr:colOff>476250</xdr:colOff>
      <xdr:row>108</xdr:row>
      <xdr:rowOff>95250</xdr:rowOff>
    </xdr:from>
    <xdr:to>
      <xdr:col>17</xdr:col>
      <xdr:colOff>533400</xdr:colOff>
      <xdr:row>108</xdr:row>
      <xdr:rowOff>152399</xdr:rowOff>
    </xdr:to>
    <xdr:sp macro="" textlink="">
      <xdr:nvSpPr>
        <xdr:cNvPr id="145" name="Flowchart: Connector 144">
          <a:extLst>
            <a:ext uri="{FF2B5EF4-FFF2-40B4-BE49-F238E27FC236}">
              <a16:creationId xmlns:a16="http://schemas.microsoft.com/office/drawing/2014/main" id="{B1B10953-7EC2-4EF1-A238-987D4E8C0376}"/>
            </a:ext>
          </a:extLst>
        </xdr:cNvPr>
        <xdr:cNvSpPr/>
      </xdr:nvSpPr>
      <xdr:spPr bwMode="auto">
        <a:xfrm>
          <a:off x="15154275" y="18430875"/>
          <a:ext cx="57150" cy="57149"/>
        </a:xfrm>
        <a:prstGeom prst="flowChartConnector">
          <a:avLst/>
        </a:prstGeom>
        <a:solidFill>
          <a:srgbClr val="FFC00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514352</xdr:colOff>
      <xdr:row>8</xdr:row>
      <xdr:rowOff>152399</xdr:rowOff>
    </xdr:from>
    <xdr:to>
      <xdr:col>9</xdr:col>
      <xdr:colOff>495300</xdr:colOff>
      <xdr:row>15</xdr:row>
      <xdr:rowOff>114299</xdr:rowOff>
    </xdr:to>
    <xdr:cxnSp macro="">
      <xdr:nvCxnSpPr>
        <xdr:cNvPr id="3" name="Straight Connector 2">
          <a:extLst>
            <a:ext uri="{FF2B5EF4-FFF2-40B4-BE49-F238E27FC236}">
              <a16:creationId xmlns:a16="http://schemas.microsoft.com/office/drawing/2014/main" id="{E698771B-38E1-4109-9753-77704F5349A8}"/>
            </a:ext>
          </a:extLst>
        </xdr:cNvPr>
        <xdr:cNvCxnSpPr/>
      </xdr:nvCxnSpPr>
      <xdr:spPr bwMode="auto">
        <a:xfrm rot="10800000" flipV="1">
          <a:off x="4171952" y="1523999"/>
          <a:ext cx="1200148" cy="10953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352425</xdr:colOff>
      <xdr:row>14</xdr:row>
      <xdr:rowOff>104775</xdr:rowOff>
    </xdr:from>
    <xdr:to>
      <xdr:col>8</xdr:col>
      <xdr:colOff>47625</xdr:colOff>
      <xdr:row>16</xdr:row>
      <xdr:rowOff>114300</xdr:rowOff>
    </xdr:to>
    <xdr:cxnSp macro="">
      <xdr:nvCxnSpPr>
        <xdr:cNvPr id="560817" name="Straight Connector 4">
          <a:extLst>
            <a:ext uri="{FF2B5EF4-FFF2-40B4-BE49-F238E27FC236}">
              <a16:creationId xmlns:a16="http://schemas.microsoft.com/office/drawing/2014/main" id="{C4B95BF9-09C0-4A9D-A528-ABCE0FE8D7A3}"/>
            </a:ext>
          </a:extLst>
        </xdr:cNvPr>
        <xdr:cNvCxnSpPr>
          <a:cxnSpLocks noChangeShapeType="1"/>
        </xdr:cNvCxnSpPr>
      </xdr:nvCxnSpPr>
      <xdr:spPr bwMode="auto">
        <a:xfrm rot="16200000" flipH="1">
          <a:off x="5757862" y="2586038"/>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561975</xdr:colOff>
      <xdr:row>13</xdr:row>
      <xdr:rowOff>95250</xdr:rowOff>
    </xdr:from>
    <xdr:to>
      <xdr:col>8</xdr:col>
      <xdr:colOff>257175</xdr:colOff>
      <xdr:row>15</xdr:row>
      <xdr:rowOff>104775</xdr:rowOff>
    </xdr:to>
    <xdr:cxnSp macro="">
      <xdr:nvCxnSpPr>
        <xdr:cNvPr id="147549" name="Straight Connector 5">
          <a:extLst>
            <a:ext uri="{FF2B5EF4-FFF2-40B4-BE49-F238E27FC236}">
              <a16:creationId xmlns:a16="http://schemas.microsoft.com/office/drawing/2014/main" id="{9315B5B4-D7AF-4ADF-BF27-49ED3FBAFCA1}"/>
            </a:ext>
          </a:extLst>
        </xdr:cNvPr>
        <xdr:cNvCxnSpPr>
          <a:cxnSpLocks noChangeShapeType="1"/>
        </xdr:cNvCxnSpPr>
      </xdr:nvCxnSpPr>
      <xdr:spPr bwMode="auto">
        <a:xfrm rot="16200000" flipH="1">
          <a:off x="4205287" y="2347913"/>
          <a:ext cx="333375" cy="304800"/>
        </a:xfrm>
        <a:prstGeom prst="line">
          <a:avLst/>
        </a:prstGeom>
        <a:ln w="19050">
          <a:headEnd/>
          <a:tailEnd/>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180975</xdr:colOff>
      <xdr:row>12</xdr:row>
      <xdr:rowOff>28575</xdr:rowOff>
    </xdr:from>
    <xdr:to>
      <xdr:col>8</xdr:col>
      <xdr:colOff>485775</xdr:colOff>
      <xdr:row>14</xdr:row>
      <xdr:rowOff>38100</xdr:rowOff>
    </xdr:to>
    <xdr:cxnSp macro="">
      <xdr:nvCxnSpPr>
        <xdr:cNvPr id="560819" name="Straight Connector 7">
          <a:extLst>
            <a:ext uri="{FF2B5EF4-FFF2-40B4-BE49-F238E27FC236}">
              <a16:creationId xmlns:a16="http://schemas.microsoft.com/office/drawing/2014/main" id="{DBE89C02-F0A4-431A-A797-7A1C13367470}"/>
            </a:ext>
          </a:extLst>
        </xdr:cNvPr>
        <xdr:cNvCxnSpPr>
          <a:cxnSpLocks noChangeShapeType="1"/>
        </xdr:cNvCxnSpPr>
      </xdr:nvCxnSpPr>
      <xdr:spPr bwMode="auto">
        <a:xfrm rot="16200000" flipH="1">
          <a:off x="6186487" y="2157413"/>
          <a:ext cx="37147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38100</xdr:colOff>
      <xdr:row>13</xdr:row>
      <xdr:rowOff>19050</xdr:rowOff>
    </xdr:from>
    <xdr:to>
      <xdr:col>8</xdr:col>
      <xdr:colOff>342900</xdr:colOff>
      <xdr:row>15</xdr:row>
      <xdr:rowOff>28575</xdr:rowOff>
    </xdr:to>
    <xdr:cxnSp macro="">
      <xdr:nvCxnSpPr>
        <xdr:cNvPr id="560820" name="Straight Connector 8">
          <a:extLst>
            <a:ext uri="{FF2B5EF4-FFF2-40B4-BE49-F238E27FC236}">
              <a16:creationId xmlns:a16="http://schemas.microsoft.com/office/drawing/2014/main" id="{52C0298B-DFF1-4A00-A7E7-FCDEA10953E8}"/>
            </a:ext>
          </a:extLst>
        </xdr:cNvPr>
        <xdr:cNvCxnSpPr>
          <a:cxnSpLocks noChangeShapeType="1"/>
        </xdr:cNvCxnSpPr>
      </xdr:nvCxnSpPr>
      <xdr:spPr bwMode="auto">
        <a:xfrm rot="16200000" flipH="1">
          <a:off x="6053137" y="2328863"/>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95250</xdr:colOff>
      <xdr:row>9</xdr:row>
      <xdr:rowOff>47625</xdr:rowOff>
    </xdr:from>
    <xdr:to>
      <xdr:col>9</xdr:col>
      <xdr:colOff>400050</xdr:colOff>
      <xdr:row>11</xdr:row>
      <xdr:rowOff>57150</xdr:rowOff>
    </xdr:to>
    <xdr:cxnSp macro="">
      <xdr:nvCxnSpPr>
        <xdr:cNvPr id="560821" name="Straight Connector 11">
          <a:extLst>
            <a:ext uri="{FF2B5EF4-FFF2-40B4-BE49-F238E27FC236}">
              <a16:creationId xmlns:a16="http://schemas.microsoft.com/office/drawing/2014/main" id="{C24D9A73-2BBB-4BAF-96F1-1798DD1770CF}"/>
            </a:ext>
          </a:extLst>
        </xdr:cNvPr>
        <xdr:cNvCxnSpPr>
          <a:cxnSpLocks noChangeShapeType="1"/>
        </xdr:cNvCxnSpPr>
      </xdr:nvCxnSpPr>
      <xdr:spPr bwMode="auto">
        <a:xfrm rot="16200000" flipH="1">
          <a:off x="6729412" y="1662113"/>
          <a:ext cx="33337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533400</xdr:colOff>
      <xdr:row>10</xdr:row>
      <xdr:rowOff>47625</xdr:rowOff>
    </xdr:from>
    <xdr:to>
      <xdr:col>9</xdr:col>
      <xdr:colOff>228600</xdr:colOff>
      <xdr:row>12</xdr:row>
      <xdr:rowOff>57150</xdr:rowOff>
    </xdr:to>
    <xdr:cxnSp macro="">
      <xdr:nvCxnSpPr>
        <xdr:cNvPr id="560822" name="Straight Connector 12">
          <a:extLst>
            <a:ext uri="{FF2B5EF4-FFF2-40B4-BE49-F238E27FC236}">
              <a16:creationId xmlns:a16="http://schemas.microsoft.com/office/drawing/2014/main" id="{FFA1804A-7305-4236-81D6-9D958492CB27}"/>
            </a:ext>
          </a:extLst>
        </xdr:cNvPr>
        <xdr:cNvCxnSpPr>
          <a:cxnSpLocks noChangeShapeType="1"/>
        </xdr:cNvCxnSpPr>
      </xdr:nvCxnSpPr>
      <xdr:spPr bwMode="auto">
        <a:xfrm rot="16200000" flipH="1">
          <a:off x="6553200" y="1828800"/>
          <a:ext cx="342900"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352425</xdr:colOff>
      <xdr:row>11</xdr:row>
      <xdr:rowOff>57150</xdr:rowOff>
    </xdr:from>
    <xdr:to>
      <xdr:col>9</xdr:col>
      <xdr:colOff>47625</xdr:colOff>
      <xdr:row>13</xdr:row>
      <xdr:rowOff>66675</xdr:rowOff>
    </xdr:to>
    <xdr:cxnSp macro="">
      <xdr:nvCxnSpPr>
        <xdr:cNvPr id="560823" name="Straight Connector 13">
          <a:extLst>
            <a:ext uri="{FF2B5EF4-FFF2-40B4-BE49-F238E27FC236}">
              <a16:creationId xmlns:a16="http://schemas.microsoft.com/office/drawing/2014/main" id="{A90DAF01-1EA4-4BFC-B905-08443F341D36}"/>
            </a:ext>
          </a:extLst>
        </xdr:cNvPr>
        <xdr:cNvCxnSpPr>
          <a:cxnSpLocks noChangeShapeType="1"/>
        </xdr:cNvCxnSpPr>
      </xdr:nvCxnSpPr>
      <xdr:spPr bwMode="auto">
        <a:xfrm rot="16200000" flipH="1">
          <a:off x="6357937" y="2014538"/>
          <a:ext cx="37147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13</xdr:col>
      <xdr:colOff>319689</xdr:colOff>
      <xdr:row>12</xdr:row>
      <xdr:rowOff>105809</xdr:rowOff>
    </xdr:from>
    <xdr:to>
      <xdr:col>15</xdr:col>
      <xdr:colOff>335811</xdr:colOff>
      <xdr:row>15</xdr:row>
      <xdr:rowOff>93480</xdr:rowOff>
    </xdr:to>
    <xdr:sp macro="" textlink="">
      <xdr:nvSpPr>
        <xdr:cNvPr id="16" name="Chord 15">
          <a:extLst>
            <a:ext uri="{FF2B5EF4-FFF2-40B4-BE49-F238E27FC236}">
              <a16:creationId xmlns:a16="http://schemas.microsoft.com/office/drawing/2014/main" id="{10BBFF8D-42D2-45F1-9857-CFF5B5EC87A5}"/>
            </a:ext>
          </a:extLst>
        </xdr:cNvPr>
        <xdr:cNvSpPr/>
      </xdr:nvSpPr>
      <xdr:spPr bwMode="auto">
        <a:xfrm rot="18727733">
          <a:off x="8016262" y="1800886"/>
          <a:ext cx="473446" cy="1236191"/>
        </a:xfrm>
        <a:prstGeom prst="chord">
          <a:avLst>
            <a:gd name="adj1" fmla="val 5385842"/>
            <a:gd name="adj2" fmla="val 16200000"/>
          </a:avLst>
        </a:prstGeom>
        <a:solidFill>
          <a:schemeClr val="bg1">
            <a:lumMod val="50000"/>
          </a:schemeClr>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13</xdr:col>
      <xdr:colOff>485775</xdr:colOff>
      <xdr:row>11</xdr:row>
      <xdr:rowOff>133350</xdr:rowOff>
    </xdr:from>
    <xdr:to>
      <xdr:col>15</xdr:col>
      <xdr:colOff>95250</xdr:colOff>
      <xdr:row>11</xdr:row>
      <xdr:rowOff>161925</xdr:rowOff>
    </xdr:to>
    <xdr:cxnSp macro="">
      <xdr:nvCxnSpPr>
        <xdr:cNvPr id="560825" name="Straight Connector 17">
          <a:extLst>
            <a:ext uri="{FF2B5EF4-FFF2-40B4-BE49-F238E27FC236}">
              <a16:creationId xmlns:a16="http://schemas.microsoft.com/office/drawing/2014/main" id="{68AE8864-6920-49BA-ADB8-6A6E1E1EC303}"/>
            </a:ext>
          </a:extLst>
        </xdr:cNvPr>
        <xdr:cNvCxnSpPr>
          <a:cxnSpLocks noChangeShapeType="1"/>
        </xdr:cNvCxnSpPr>
      </xdr:nvCxnSpPr>
      <xdr:spPr bwMode="auto">
        <a:xfrm rot="10800000" flipH="1" flipV="1">
          <a:off x="9829800" y="2057400"/>
          <a:ext cx="828675" cy="285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15</xdr:col>
      <xdr:colOff>114300</xdr:colOff>
      <xdr:row>11</xdr:row>
      <xdr:rowOff>123825</xdr:rowOff>
    </xdr:from>
    <xdr:to>
      <xdr:col>15</xdr:col>
      <xdr:colOff>180975</xdr:colOff>
      <xdr:row>16</xdr:row>
      <xdr:rowOff>104775</xdr:rowOff>
    </xdr:to>
    <xdr:cxnSp macro="">
      <xdr:nvCxnSpPr>
        <xdr:cNvPr id="560826" name="Straight Connector 20">
          <a:extLst>
            <a:ext uri="{FF2B5EF4-FFF2-40B4-BE49-F238E27FC236}">
              <a16:creationId xmlns:a16="http://schemas.microsoft.com/office/drawing/2014/main" id="{CBCD6CE7-14ED-45E6-9C56-C9FD4E9D9359}"/>
            </a:ext>
          </a:extLst>
        </xdr:cNvPr>
        <xdr:cNvCxnSpPr>
          <a:cxnSpLocks noChangeShapeType="1"/>
          <a:endCxn id="16" idx="0"/>
        </xdr:cNvCxnSpPr>
      </xdr:nvCxnSpPr>
      <xdr:spPr bwMode="auto">
        <a:xfrm rot="16200000" flipH="1">
          <a:off x="10282238" y="2443162"/>
          <a:ext cx="8572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15</xdr:col>
      <xdr:colOff>85725</xdr:colOff>
      <xdr:row>11</xdr:row>
      <xdr:rowOff>9525</xdr:rowOff>
    </xdr:from>
    <xdr:to>
      <xdr:col>15</xdr:col>
      <xdr:colOff>180975</xdr:colOff>
      <xdr:row>12</xdr:row>
      <xdr:rowOff>38100</xdr:rowOff>
    </xdr:to>
    <xdr:sp macro="" textlink="">
      <xdr:nvSpPr>
        <xdr:cNvPr id="560827" name="Can 24">
          <a:extLst>
            <a:ext uri="{FF2B5EF4-FFF2-40B4-BE49-F238E27FC236}">
              <a16:creationId xmlns:a16="http://schemas.microsoft.com/office/drawing/2014/main" id="{362B03EB-EAC9-45D1-BE99-3727DE9E9217}"/>
            </a:ext>
          </a:extLst>
        </xdr:cNvPr>
        <xdr:cNvSpPr>
          <a:spLocks noChangeArrowheads="1"/>
        </xdr:cNvSpPr>
      </xdr:nvSpPr>
      <xdr:spPr bwMode="auto">
        <a:xfrm rot="2580000">
          <a:off x="10648950" y="1933575"/>
          <a:ext cx="95250" cy="200025"/>
        </a:xfrm>
        <a:prstGeom prst="can">
          <a:avLst>
            <a:gd name="adj" fmla="val 26250"/>
          </a:avLst>
        </a:prstGeom>
        <a:solidFill>
          <a:srgbClr val="00B0F0"/>
        </a:solidFill>
        <a:ln w="9525" algn="ctr">
          <a:solidFill>
            <a:srgbClr val="000000"/>
          </a:solidFill>
          <a:round/>
          <a:headEnd/>
          <a:tailEnd/>
        </a:ln>
      </xdr:spPr>
    </xdr:sp>
    <xdr:clientData/>
  </xdr:twoCellAnchor>
  <xdr:twoCellAnchor>
    <xdr:from>
      <xdr:col>13</xdr:col>
      <xdr:colOff>581025</xdr:colOff>
      <xdr:row>15</xdr:row>
      <xdr:rowOff>57150</xdr:rowOff>
    </xdr:from>
    <xdr:to>
      <xdr:col>14</xdr:col>
      <xdr:colOff>323850</xdr:colOff>
      <xdr:row>19</xdr:row>
      <xdr:rowOff>28575</xdr:rowOff>
    </xdr:to>
    <xdr:sp macro="" textlink="">
      <xdr:nvSpPr>
        <xdr:cNvPr id="560828" name="Isosceles Triangle 25">
          <a:extLst>
            <a:ext uri="{FF2B5EF4-FFF2-40B4-BE49-F238E27FC236}">
              <a16:creationId xmlns:a16="http://schemas.microsoft.com/office/drawing/2014/main" id="{BD1D2C21-BE36-49C8-934F-674F1A3A6BF0}"/>
            </a:ext>
          </a:extLst>
        </xdr:cNvPr>
        <xdr:cNvSpPr>
          <a:spLocks noChangeArrowheads="1"/>
        </xdr:cNvSpPr>
      </xdr:nvSpPr>
      <xdr:spPr bwMode="auto">
        <a:xfrm>
          <a:off x="9925050" y="2686050"/>
          <a:ext cx="352425" cy="723900"/>
        </a:xfrm>
        <a:prstGeom prst="triangle">
          <a:avLst>
            <a:gd name="adj" fmla="val 50000"/>
          </a:avLst>
        </a:prstGeom>
        <a:solidFill>
          <a:srgbClr val="00B0F0"/>
        </a:solidFill>
        <a:ln w="9525" algn="ctr">
          <a:solidFill>
            <a:srgbClr val="000000"/>
          </a:solidFill>
          <a:round/>
          <a:headEnd/>
          <a:tailEnd/>
        </a:ln>
      </xdr:spPr>
    </xdr:sp>
    <xdr:clientData/>
  </xdr:twoCellAnchor>
  <xdr:twoCellAnchor>
    <xdr:from>
      <xdr:col>14</xdr:col>
      <xdr:colOff>76199</xdr:colOff>
      <xdr:row>15</xdr:row>
      <xdr:rowOff>47625</xdr:rowOff>
    </xdr:from>
    <xdr:to>
      <xdr:col>14</xdr:col>
      <xdr:colOff>276224</xdr:colOff>
      <xdr:row>15</xdr:row>
      <xdr:rowOff>142875</xdr:rowOff>
    </xdr:to>
    <xdr:sp macro="" textlink="">
      <xdr:nvSpPr>
        <xdr:cNvPr id="27" name="Snip Same Side Corner Rectangle 26">
          <a:extLst>
            <a:ext uri="{FF2B5EF4-FFF2-40B4-BE49-F238E27FC236}">
              <a16:creationId xmlns:a16="http://schemas.microsoft.com/office/drawing/2014/main" id="{B10EC914-C9B1-4EA8-81AC-BF3DEFE7D973}"/>
            </a:ext>
          </a:extLst>
        </xdr:cNvPr>
        <xdr:cNvSpPr/>
      </xdr:nvSpPr>
      <xdr:spPr bwMode="auto">
        <a:xfrm rot="-8460000">
          <a:off x="8000999" y="2609850"/>
          <a:ext cx="200025" cy="95250"/>
        </a:xfrm>
        <a:prstGeom prst="snip2Same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9</xdr:col>
      <xdr:colOff>590550</xdr:colOff>
      <xdr:row>3</xdr:row>
      <xdr:rowOff>133350</xdr:rowOff>
    </xdr:from>
    <xdr:to>
      <xdr:col>11</xdr:col>
      <xdr:colOff>200025</xdr:colOff>
      <xdr:row>8</xdr:row>
      <xdr:rowOff>57150</xdr:rowOff>
    </xdr:to>
    <xdr:cxnSp macro="">
      <xdr:nvCxnSpPr>
        <xdr:cNvPr id="560830" name="Straight Connector 17">
          <a:extLst>
            <a:ext uri="{FF2B5EF4-FFF2-40B4-BE49-F238E27FC236}">
              <a16:creationId xmlns:a16="http://schemas.microsoft.com/office/drawing/2014/main" id="{D7102F17-14F4-4F56-B883-FADC3D7E8E3B}"/>
            </a:ext>
          </a:extLst>
        </xdr:cNvPr>
        <xdr:cNvCxnSpPr>
          <a:cxnSpLocks noChangeShapeType="1"/>
        </xdr:cNvCxnSpPr>
      </xdr:nvCxnSpPr>
      <xdr:spPr bwMode="auto">
        <a:xfrm flipV="1">
          <a:off x="7239000" y="704850"/>
          <a:ext cx="923925" cy="790575"/>
        </a:xfrm>
        <a:prstGeom prst="line">
          <a:avLst/>
        </a:prstGeom>
        <a:noFill/>
        <a:ln w="9525" algn="ctr">
          <a:solidFill>
            <a:srgbClr val="000000"/>
          </a:solidFill>
          <a:prstDash val="lgDashDot"/>
          <a:round/>
          <a:headEnd/>
          <a:tailEnd/>
        </a:ln>
        <a:extLst>
          <a:ext uri="{909E8E84-426E-40DD-AFC4-6F175D3DCCD1}">
            <a14:hiddenFill xmlns:a14="http://schemas.microsoft.com/office/drawing/2010/main">
              <a:noFill/>
            </a14:hiddenFill>
          </a:ext>
        </a:extLst>
      </xdr:spPr>
    </xdr:cxnSp>
    <xdr:clientData/>
  </xdr:twoCellAnchor>
  <xdr:twoCellAnchor>
    <xdr:from>
      <xdr:col>9</xdr:col>
      <xdr:colOff>581025</xdr:colOff>
      <xdr:row>2</xdr:row>
      <xdr:rowOff>152400</xdr:rowOff>
    </xdr:from>
    <xdr:to>
      <xdr:col>11</xdr:col>
      <xdr:colOff>66675</xdr:colOff>
      <xdr:row>8</xdr:row>
      <xdr:rowOff>47625</xdr:rowOff>
    </xdr:to>
    <xdr:cxnSp macro="">
      <xdr:nvCxnSpPr>
        <xdr:cNvPr id="560831" name="Straight Arrow Connector 19">
          <a:extLst>
            <a:ext uri="{FF2B5EF4-FFF2-40B4-BE49-F238E27FC236}">
              <a16:creationId xmlns:a16="http://schemas.microsoft.com/office/drawing/2014/main" id="{6303483B-52F6-4D6F-A0C4-E8C5BD094DDA}"/>
            </a:ext>
          </a:extLst>
        </xdr:cNvPr>
        <xdr:cNvCxnSpPr>
          <a:cxnSpLocks noChangeShapeType="1"/>
        </xdr:cNvCxnSpPr>
      </xdr:nvCxnSpPr>
      <xdr:spPr bwMode="auto">
        <a:xfrm rot="5400000" flipH="1" flipV="1">
          <a:off x="7162800" y="619125"/>
          <a:ext cx="933450" cy="800100"/>
        </a:xfrm>
        <a:prstGeom prst="straightConnector1">
          <a:avLst/>
        </a:prstGeom>
        <a:noFill/>
        <a:ln w="9525" algn="ctr">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15</xdr:col>
      <xdr:colOff>266700</xdr:colOff>
      <xdr:row>5</xdr:row>
      <xdr:rowOff>114300</xdr:rowOff>
    </xdr:from>
    <xdr:to>
      <xdr:col>16</xdr:col>
      <xdr:colOff>476250</xdr:colOff>
      <xdr:row>10</xdr:row>
      <xdr:rowOff>104775</xdr:rowOff>
    </xdr:to>
    <xdr:cxnSp macro="">
      <xdr:nvCxnSpPr>
        <xdr:cNvPr id="560832" name="Straight Connector 21">
          <a:extLst>
            <a:ext uri="{FF2B5EF4-FFF2-40B4-BE49-F238E27FC236}">
              <a16:creationId xmlns:a16="http://schemas.microsoft.com/office/drawing/2014/main" id="{1A82C088-0AFB-4355-9CC0-B281D0B22483}"/>
            </a:ext>
          </a:extLst>
        </xdr:cNvPr>
        <xdr:cNvCxnSpPr>
          <a:cxnSpLocks noChangeShapeType="1"/>
        </xdr:cNvCxnSpPr>
      </xdr:nvCxnSpPr>
      <xdr:spPr bwMode="auto">
        <a:xfrm rot="5400000" flipH="1" flipV="1">
          <a:off x="10834687" y="1052513"/>
          <a:ext cx="809625" cy="819150"/>
        </a:xfrm>
        <a:prstGeom prst="line">
          <a:avLst/>
        </a:prstGeom>
        <a:noFill/>
        <a:ln w="9525" algn="ctr">
          <a:solidFill>
            <a:srgbClr val="000000"/>
          </a:solidFill>
          <a:prstDash val="lgDashDot"/>
          <a:round/>
          <a:headEnd/>
          <a:tailEnd/>
        </a:ln>
        <a:extLst>
          <a:ext uri="{909E8E84-426E-40DD-AFC4-6F175D3DCCD1}">
            <a14:hiddenFill xmlns:a14="http://schemas.microsoft.com/office/drawing/2010/main">
              <a:noFill/>
            </a14:hiddenFill>
          </a:ext>
        </a:extLst>
      </xdr:spPr>
    </xdr:cxnSp>
    <xdr:clientData/>
  </xdr:twoCellAnchor>
  <xdr:twoCellAnchor>
    <xdr:from>
      <xdr:col>15</xdr:col>
      <xdr:colOff>276225</xdr:colOff>
      <xdr:row>5</xdr:row>
      <xdr:rowOff>38100</xdr:rowOff>
    </xdr:from>
    <xdr:to>
      <xdr:col>16</xdr:col>
      <xdr:colOff>371475</xdr:colOff>
      <xdr:row>10</xdr:row>
      <xdr:rowOff>95250</xdr:rowOff>
    </xdr:to>
    <xdr:cxnSp macro="">
      <xdr:nvCxnSpPr>
        <xdr:cNvPr id="560833" name="Straight Arrow Connector 23">
          <a:extLst>
            <a:ext uri="{FF2B5EF4-FFF2-40B4-BE49-F238E27FC236}">
              <a16:creationId xmlns:a16="http://schemas.microsoft.com/office/drawing/2014/main" id="{CEBD8C9A-0FAE-4A06-BD36-4D10DB568DB5}"/>
            </a:ext>
          </a:extLst>
        </xdr:cNvPr>
        <xdr:cNvCxnSpPr>
          <a:cxnSpLocks noChangeShapeType="1"/>
        </xdr:cNvCxnSpPr>
      </xdr:nvCxnSpPr>
      <xdr:spPr bwMode="auto">
        <a:xfrm rot="5400000" flipH="1" flipV="1">
          <a:off x="10753725" y="1066800"/>
          <a:ext cx="876300" cy="704850"/>
        </a:xfrm>
        <a:prstGeom prst="straightConnector1">
          <a:avLst/>
        </a:prstGeom>
        <a:noFill/>
        <a:ln w="9525" algn="ctr">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editAs="oneCell">
    <xdr:from>
      <xdr:col>11</xdr:col>
      <xdr:colOff>57150</xdr:colOff>
      <xdr:row>2</xdr:row>
      <xdr:rowOff>133350</xdr:rowOff>
    </xdr:from>
    <xdr:to>
      <xdr:col>11</xdr:col>
      <xdr:colOff>257175</xdr:colOff>
      <xdr:row>3</xdr:row>
      <xdr:rowOff>190500</xdr:rowOff>
    </xdr:to>
    <xdr:sp macro="" textlink="">
      <xdr:nvSpPr>
        <xdr:cNvPr id="374603" name="TextBox 24">
          <a:extLst>
            <a:ext uri="{FF2B5EF4-FFF2-40B4-BE49-F238E27FC236}">
              <a16:creationId xmlns:a16="http://schemas.microsoft.com/office/drawing/2014/main" id="{9167266D-0D24-41DC-A657-D323A6744272}"/>
            </a:ext>
          </a:extLst>
        </xdr:cNvPr>
        <xdr:cNvSpPr txBox="1">
          <a:spLocks noChangeArrowheads="1"/>
        </xdr:cNvSpPr>
      </xdr:nvSpPr>
      <xdr:spPr bwMode="auto">
        <a:xfrm>
          <a:off x="8020050" y="533400"/>
          <a:ext cx="200025" cy="228600"/>
        </a:xfrm>
        <a:prstGeom prst="rect">
          <a:avLst/>
        </a:prstGeom>
        <a:noFill/>
        <a:ln>
          <a:noFill/>
        </a:ln>
      </xdr:spPr>
      <xdr:txBody>
        <a:bodyPr vertOverflow="clip" wrap="square" lIns="27432" tIns="27432" rIns="0" bIns="0" anchor="t"/>
        <a:lstStyle/>
        <a:p>
          <a:pPr algn="l" rtl="0">
            <a:defRPr sz="1000"/>
          </a:pPr>
          <a:r>
            <a:rPr lang="en-AU" sz="1100" b="0" i="0" u="none" strike="noStrike" baseline="0">
              <a:solidFill>
                <a:srgbClr val="000000"/>
              </a:solidFill>
              <a:latin typeface="Symbol"/>
            </a:rPr>
            <a:t>q</a:t>
          </a:r>
          <a:endParaRPr lang="en-AU"/>
        </a:p>
      </xdr:txBody>
    </xdr:sp>
    <xdr:clientData/>
  </xdr:twoCellAnchor>
  <xdr:twoCellAnchor editAs="oneCell">
    <xdr:from>
      <xdr:col>16</xdr:col>
      <xdr:colOff>409575</xdr:colOff>
      <xdr:row>4</xdr:row>
      <xdr:rowOff>85725</xdr:rowOff>
    </xdr:from>
    <xdr:to>
      <xdr:col>16</xdr:col>
      <xdr:colOff>590550</xdr:colOff>
      <xdr:row>5</xdr:row>
      <xdr:rowOff>152400</xdr:rowOff>
    </xdr:to>
    <xdr:sp macro="" textlink="">
      <xdr:nvSpPr>
        <xdr:cNvPr id="374604" name="TextBox 25">
          <a:extLst>
            <a:ext uri="{FF2B5EF4-FFF2-40B4-BE49-F238E27FC236}">
              <a16:creationId xmlns:a16="http://schemas.microsoft.com/office/drawing/2014/main" id="{97660601-1998-4C5F-B943-71E5784FBD96}"/>
            </a:ext>
          </a:extLst>
        </xdr:cNvPr>
        <xdr:cNvSpPr txBox="1">
          <a:spLocks noChangeArrowheads="1"/>
        </xdr:cNvSpPr>
      </xdr:nvSpPr>
      <xdr:spPr bwMode="auto">
        <a:xfrm>
          <a:off x="11582400" y="866775"/>
          <a:ext cx="180975" cy="228600"/>
        </a:xfrm>
        <a:prstGeom prst="rect">
          <a:avLst/>
        </a:prstGeom>
        <a:noFill/>
        <a:ln>
          <a:noFill/>
        </a:ln>
      </xdr:spPr>
      <xdr:txBody>
        <a:bodyPr vertOverflow="clip" wrap="square" lIns="27432" tIns="27432" rIns="0" bIns="0" anchor="t"/>
        <a:lstStyle/>
        <a:p>
          <a:pPr algn="l" rtl="0">
            <a:defRPr sz="1000"/>
          </a:pPr>
          <a:r>
            <a:rPr lang="en-AU" sz="1100" b="0" i="0" u="none" strike="noStrike" baseline="0">
              <a:solidFill>
                <a:srgbClr val="000000"/>
              </a:solidFill>
              <a:latin typeface="Symbol"/>
            </a:rPr>
            <a:t>q</a:t>
          </a:r>
          <a:endParaRPr lang="en-AU"/>
        </a:p>
      </xdr:txBody>
    </xdr:sp>
    <xdr:clientData/>
  </xdr:twoCellAnchor>
  <xdr:twoCellAnchor>
    <xdr:from>
      <xdr:col>10</xdr:col>
      <xdr:colOff>457200</xdr:colOff>
      <xdr:row>6</xdr:row>
      <xdr:rowOff>76200</xdr:rowOff>
    </xdr:from>
    <xdr:to>
      <xdr:col>12</xdr:col>
      <xdr:colOff>285750</xdr:colOff>
      <xdr:row>6</xdr:row>
      <xdr:rowOff>77788</xdr:rowOff>
    </xdr:to>
    <xdr:cxnSp macro="">
      <xdr:nvCxnSpPr>
        <xdr:cNvPr id="31" name="Straight Arrow Connector 30">
          <a:extLst>
            <a:ext uri="{FF2B5EF4-FFF2-40B4-BE49-F238E27FC236}">
              <a16:creationId xmlns:a16="http://schemas.microsoft.com/office/drawing/2014/main" id="{BB38F59A-3B18-4695-AB2F-7D242D1C322C}"/>
            </a:ext>
          </a:extLst>
        </xdr:cNvPr>
        <xdr:cNvCxnSpPr/>
      </xdr:nvCxnSpPr>
      <xdr:spPr bwMode="auto">
        <a:xfrm rot="10800000">
          <a:off x="5943600" y="1190625"/>
          <a:ext cx="1047750"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xdr:col>
      <xdr:colOff>228600</xdr:colOff>
      <xdr:row>12</xdr:row>
      <xdr:rowOff>95250</xdr:rowOff>
    </xdr:from>
    <xdr:to>
      <xdr:col>10</xdr:col>
      <xdr:colOff>457202</xdr:colOff>
      <xdr:row>12</xdr:row>
      <xdr:rowOff>96840</xdr:rowOff>
    </xdr:to>
    <xdr:cxnSp macro="">
      <xdr:nvCxnSpPr>
        <xdr:cNvPr id="32" name="Straight Arrow Connector 31">
          <a:extLst>
            <a:ext uri="{FF2B5EF4-FFF2-40B4-BE49-F238E27FC236}">
              <a16:creationId xmlns:a16="http://schemas.microsoft.com/office/drawing/2014/main" id="{A692F2BD-9CCE-46F2-B42F-C5552E8EA68F}"/>
            </a:ext>
          </a:extLst>
        </xdr:cNvPr>
        <xdr:cNvCxnSpPr/>
      </xdr:nvCxnSpPr>
      <xdr:spPr bwMode="auto">
        <a:xfrm rot="10800000">
          <a:off x="5105400" y="2190750"/>
          <a:ext cx="838202" cy="1590"/>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14</xdr:col>
      <xdr:colOff>161925</xdr:colOff>
      <xdr:row>6</xdr:row>
      <xdr:rowOff>95250</xdr:rowOff>
    </xdr:from>
    <xdr:to>
      <xdr:col>16</xdr:col>
      <xdr:colOff>28575</xdr:colOff>
      <xdr:row>6</xdr:row>
      <xdr:rowOff>96839</xdr:rowOff>
    </xdr:to>
    <xdr:cxnSp macro="">
      <xdr:nvCxnSpPr>
        <xdr:cNvPr id="34" name="Straight Arrow Connector 33">
          <a:extLst>
            <a:ext uri="{FF2B5EF4-FFF2-40B4-BE49-F238E27FC236}">
              <a16:creationId xmlns:a16="http://schemas.microsoft.com/office/drawing/2014/main" id="{4C3198C8-6719-430A-8C17-AECA5B6E7DCE}"/>
            </a:ext>
          </a:extLst>
        </xdr:cNvPr>
        <xdr:cNvCxnSpPr/>
      </xdr:nvCxnSpPr>
      <xdr:spPr bwMode="auto">
        <a:xfrm flipV="1">
          <a:off x="8086725" y="1209675"/>
          <a:ext cx="1085850" cy="1589"/>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xdr:col>
      <xdr:colOff>142875</xdr:colOff>
      <xdr:row>12</xdr:row>
      <xdr:rowOff>104775</xdr:rowOff>
    </xdr:from>
    <xdr:to>
      <xdr:col>13</xdr:col>
      <xdr:colOff>323850</xdr:colOff>
      <xdr:row>12</xdr:row>
      <xdr:rowOff>106363</xdr:rowOff>
    </xdr:to>
    <xdr:cxnSp macro="">
      <xdr:nvCxnSpPr>
        <xdr:cNvPr id="38" name="Straight Arrow Connector 37">
          <a:extLst>
            <a:ext uri="{FF2B5EF4-FFF2-40B4-BE49-F238E27FC236}">
              <a16:creationId xmlns:a16="http://schemas.microsoft.com/office/drawing/2014/main" id="{8268B875-A1A9-4FD7-9B89-D1E985FAF9F3}"/>
            </a:ext>
          </a:extLst>
        </xdr:cNvPr>
        <xdr:cNvCxnSpPr/>
      </xdr:nvCxnSpPr>
      <xdr:spPr bwMode="auto">
        <a:xfrm>
          <a:off x="6848475" y="2200275"/>
          <a:ext cx="790575"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xdr:col>
      <xdr:colOff>180976</xdr:colOff>
      <xdr:row>14</xdr:row>
      <xdr:rowOff>104775</xdr:rowOff>
    </xdr:from>
    <xdr:to>
      <xdr:col>8</xdr:col>
      <xdr:colOff>95251</xdr:colOff>
      <xdr:row>29</xdr:row>
      <xdr:rowOff>161925</xdr:rowOff>
    </xdr:to>
    <xdr:cxnSp macro="">
      <xdr:nvCxnSpPr>
        <xdr:cNvPr id="42" name="Elbow Connector 41">
          <a:extLst>
            <a:ext uri="{FF2B5EF4-FFF2-40B4-BE49-F238E27FC236}">
              <a16:creationId xmlns:a16="http://schemas.microsoft.com/office/drawing/2014/main" id="{1EA0FAB6-347A-4CD1-81A2-C43003548A89}"/>
            </a:ext>
          </a:extLst>
        </xdr:cNvPr>
        <xdr:cNvCxnSpPr/>
      </xdr:nvCxnSpPr>
      <xdr:spPr bwMode="auto">
        <a:xfrm rot="5400000">
          <a:off x="2857501" y="3514725"/>
          <a:ext cx="2486025" cy="523875"/>
        </a:xfrm>
        <a:prstGeom prst="bentConnector3">
          <a:avLst>
            <a:gd name="adj1" fmla="val 51805"/>
          </a:avLst>
        </a:prstGeom>
        <a:ln w="19050">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139605</xdr:colOff>
      <xdr:row>11</xdr:row>
      <xdr:rowOff>142017</xdr:rowOff>
    </xdr:from>
    <xdr:to>
      <xdr:col>15</xdr:col>
      <xdr:colOff>200025</xdr:colOff>
      <xdr:row>17</xdr:row>
      <xdr:rowOff>9525</xdr:rowOff>
    </xdr:to>
    <xdr:cxnSp macro="">
      <xdr:nvCxnSpPr>
        <xdr:cNvPr id="44" name="Straight Connector 43">
          <a:extLst>
            <a:ext uri="{FF2B5EF4-FFF2-40B4-BE49-F238E27FC236}">
              <a16:creationId xmlns:a16="http://schemas.microsoft.com/office/drawing/2014/main" id="{B5B5DB4F-7B64-450D-9B47-12B4DA22C0BA}"/>
            </a:ext>
          </a:extLst>
        </xdr:cNvPr>
        <xdr:cNvCxnSpPr/>
      </xdr:nvCxnSpPr>
      <xdr:spPr bwMode="auto">
        <a:xfrm rot="16200000" flipH="1">
          <a:off x="8275161" y="2464911"/>
          <a:ext cx="858108" cy="60420"/>
        </a:xfrm>
        <a:prstGeom prst="line">
          <a:avLst/>
        </a:prstGeom>
        <a:ln w="19050">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352425</xdr:colOff>
      <xdr:row>17</xdr:row>
      <xdr:rowOff>9524</xdr:rowOff>
    </xdr:from>
    <xdr:to>
      <xdr:col>15</xdr:col>
      <xdr:colOff>200025</xdr:colOff>
      <xdr:row>23</xdr:row>
      <xdr:rowOff>19049</xdr:rowOff>
    </xdr:to>
    <xdr:cxnSp macro="">
      <xdr:nvCxnSpPr>
        <xdr:cNvPr id="48" name="Elbow Connector 47">
          <a:extLst>
            <a:ext uri="{FF2B5EF4-FFF2-40B4-BE49-F238E27FC236}">
              <a16:creationId xmlns:a16="http://schemas.microsoft.com/office/drawing/2014/main" id="{F61CC657-5FB0-4575-86AA-0EBFFE0E4AB1}"/>
            </a:ext>
          </a:extLst>
        </xdr:cNvPr>
        <xdr:cNvCxnSpPr/>
      </xdr:nvCxnSpPr>
      <xdr:spPr bwMode="auto">
        <a:xfrm rot="10800000" flipV="1">
          <a:off x="4010025" y="2924174"/>
          <a:ext cx="4724400" cy="981075"/>
        </a:xfrm>
        <a:prstGeom prst="bentConnector3">
          <a:avLst>
            <a:gd name="adj1" fmla="val 50000"/>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342900</xdr:colOff>
      <xdr:row>23</xdr:row>
      <xdr:rowOff>10320</xdr:rowOff>
    </xdr:from>
    <xdr:to>
      <xdr:col>7</xdr:col>
      <xdr:colOff>353219</xdr:colOff>
      <xdr:row>29</xdr:row>
      <xdr:rowOff>161926</xdr:rowOff>
    </xdr:to>
    <xdr:cxnSp macro="">
      <xdr:nvCxnSpPr>
        <xdr:cNvPr id="50" name="Straight Connector 49">
          <a:extLst>
            <a:ext uri="{FF2B5EF4-FFF2-40B4-BE49-F238E27FC236}">
              <a16:creationId xmlns:a16="http://schemas.microsoft.com/office/drawing/2014/main" id="{0C03FAB2-A56C-4851-BAC8-5EE02866D439}"/>
            </a:ext>
          </a:extLst>
        </xdr:cNvPr>
        <xdr:cNvCxnSpPr/>
      </xdr:nvCxnSpPr>
      <xdr:spPr bwMode="auto">
        <a:xfrm rot="5400000">
          <a:off x="3444082" y="4452938"/>
          <a:ext cx="1123156" cy="10319"/>
        </a:xfrm>
        <a:prstGeom prst="line">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447675</xdr:colOff>
      <xdr:row>28</xdr:row>
      <xdr:rowOff>142875</xdr:rowOff>
    </xdr:from>
    <xdr:to>
      <xdr:col>10</xdr:col>
      <xdr:colOff>142875</xdr:colOff>
      <xdr:row>31</xdr:row>
      <xdr:rowOff>152400</xdr:rowOff>
    </xdr:to>
    <xdr:sp macro="" textlink="">
      <xdr:nvSpPr>
        <xdr:cNvPr id="51" name="Rectangle 50">
          <a:extLst>
            <a:ext uri="{FF2B5EF4-FFF2-40B4-BE49-F238E27FC236}">
              <a16:creationId xmlns:a16="http://schemas.microsoft.com/office/drawing/2014/main" id="{E5F2F7AA-1226-4520-9211-5EEA7418ED14}"/>
            </a:ext>
          </a:extLst>
        </xdr:cNvPr>
        <xdr:cNvSpPr/>
      </xdr:nvSpPr>
      <xdr:spPr bwMode="auto">
        <a:xfrm>
          <a:off x="4714875" y="4876800"/>
          <a:ext cx="914400" cy="514350"/>
        </a:xfrm>
        <a:prstGeom prst="rect">
          <a:avLst/>
        </a:prstGeom>
        <a:solidFill>
          <a:srgbClr val="00B0F0"/>
        </a:solid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wrap="square" lIns="18288" tIns="0" rIns="0" bIns="0" rtlCol="0" anchor="ctr" upright="1"/>
        <a:lstStyle/>
        <a:p>
          <a:endParaRPr lang="en-AU"/>
        </a:p>
      </xdr:txBody>
    </xdr:sp>
    <xdr:clientData/>
  </xdr:twoCellAnchor>
  <xdr:twoCellAnchor>
    <xdr:from>
      <xdr:col>8</xdr:col>
      <xdr:colOff>466726</xdr:colOff>
      <xdr:row>14</xdr:row>
      <xdr:rowOff>123825</xdr:rowOff>
    </xdr:from>
    <xdr:to>
      <xdr:col>11</xdr:col>
      <xdr:colOff>57151</xdr:colOff>
      <xdr:row>14</xdr:row>
      <xdr:rowOff>125413</xdr:rowOff>
    </xdr:to>
    <xdr:cxnSp macro="">
      <xdr:nvCxnSpPr>
        <xdr:cNvPr id="55" name="Straight Arrow Connector 54">
          <a:extLst>
            <a:ext uri="{FF2B5EF4-FFF2-40B4-BE49-F238E27FC236}">
              <a16:creationId xmlns:a16="http://schemas.microsoft.com/office/drawing/2014/main" id="{C2230E8E-63E2-4587-A1D7-3FA2022E7B90}"/>
            </a:ext>
          </a:extLst>
        </xdr:cNvPr>
        <xdr:cNvCxnSpPr/>
      </xdr:nvCxnSpPr>
      <xdr:spPr bwMode="auto">
        <a:xfrm rot="10800000">
          <a:off x="4733926" y="2552700"/>
          <a:ext cx="1514475"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552450</xdr:colOff>
      <xdr:row>14</xdr:row>
      <xdr:rowOff>133350</xdr:rowOff>
    </xdr:from>
    <xdr:to>
      <xdr:col>13</xdr:col>
      <xdr:colOff>590550</xdr:colOff>
      <xdr:row>14</xdr:row>
      <xdr:rowOff>134938</xdr:rowOff>
    </xdr:to>
    <xdr:cxnSp macro="">
      <xdr:nvCxnSpPr>
        <xdr:cNvPr id="58" name="Straight Arrow Connector 57">
          <a:extLst>
            <a:ext uri="{FF2B5EF4-FFF2-40B4-BE49-F238E27FC236}">
              <a16:creationId xmlns:a16="http://schemas.microsoft.com/office/drawing/2014/main" id="{9A26786C-043C-4E8C-96F7-0D5E9E3E6445}"/>
            </a:ext>
          </a:extLst>
        </xdr:cNvPr>
        <xdr:cNvCxnSpPr/>
      </xdr:nvCxnSpPr>
      <xdr:spPr bwMode="auto">
        <a:xfrm>
          <a:off x="6743700" y="2562225"/>
          <a:ext cx="1419225"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566740</xdr:colOff>
      <xdr:row>28</xdr:row>
      <xdr:rowOff>80962</xdr:rowOff>
    </xdr:from>
    <xdr:to>
      <xdr:col>12</xdr:col>
      <xdr:colOff>719140</xdr:colOff>
      <xdr:row>32</xdr:row>
      <xdr:rowOff>71437</xdr:rowOff>
    </xdr:to>
    <xdr:sp macro="" textlink="">
      <xdr:nvSpPr>
        <xdr:cNvPr id="59" name="Isosceles Triangle 58">
          <a:extLst>
            <a:ext uri="{FF2B5EF4-FFF2-40B4-BE49-F238E27FC236}">
              <a16:creationId xmlns:a16="http://schemas.microsoft.com/office/drawing/2014/main" id="{EEFF0FA7-628D-431F-8AAA-63E6B8287688}"/>
            </a:ext>
          </a:extLst>
        </xdr:cNvPr>
        <xdr:cNvSpPr/>
      </xdr:nvSpPr>
      <xdr:spPr bwMode="auto">
        <a:xfrm rot="16200000">
          <a:off x="6715127" y="4762500"/>
          <a:ext cx="657225" cy="762000"/>
        </a:xfrm>
        <a:prstGeom prst="triangle">
          <a:avLst/>
        </a:prstGeom>
        <a:solidFill>
          <a:srgbClr val="00B0F0"/>
        </a:solidFill>
        <a:ln w="19050"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TX</a:t>
          </a:r>
        </a:p>
      </xdr:txBody>
    </xdr:sp>
    <xdr:clientData/>
  </xdr:twoCellAnchor>
  <xdr:twoCellAnchor>
    <xdr:from>
      <xdr:col>8</xdr:col>
      <xdr:colOff>0</xdr:colOff>
      <xdr:row>30</xdr:row>
      <xdr:rowOff>76200</xdr:rowOff>
    </xdr:from>
    <xdr:to>
      <xdr:col>8</xdr:col>
      <xdr:colOff>457200</xdr:colOff>
      <xdr:row>30</xdr:row>
      <xdr:rowOff>77788</xdr:rowOff>
    </xdr:to>
    <xdr:cxnSp macro="">
      <xdr:nvCxnSpPr>
        <xdr:cNvPr id="61" name="Straight Connector 60">
          <a:extLst>
            <a:ext uri="{FF2B5EF4-FFF2-40B4-BE49-F238E27FC236}">
              <a16:creationId xmlns:a16="http://schemas.microsoft.com/office/drawing/2014/main" id="{90FE5811-6E9A-4AD1-AD56-DCF2AFD94E9F}"/>
            </a:ext>
          </a:extLst>
        </xdr:cNvPr>
        <xdr:cNvCxnSpPr/>
      </xdr:nvCxnSpPr>
      <xdr:spPr bwMode="auto">
        <a:xfrm>
          <a:off x="4267200" y="5143500"/>
          <a:ext cx="457200" cy="1588"/>
        </a:xfrm>
        <a:prstGeom prst="line">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142876</xdr:colOff>
      <xdr:row>30</xdr:row>
      <xdr:rowOff>66676</xdr:rowOff>
    </xdr:from>
    <xdr:to>
      <xdr:col>11</xdr:col>
      <xdr:colOff>567141</xdr:colOff>
      <xdr:row>30</xdr:row>
      <xdr:rowOff>76201</xdr:rowOff>
    </xdr:to>
    <xdr:cxnSp macro="">
      <xdr:nvCxnSpPr>
        <xdr:cNvPr id="64" name="Straight Connector 63">
          <a:extLst>
            <a:ext uri="{FF2B5EF4-FFF2-40B4-BE49-F238E27FC236}">
              <a16:creationId xmlns:a16="http://schemas.microsoft.com/office/drawing/2014/main" id="{C31FCFD7-D840-4996-9CCB-4F689D18A19A}"/>
            </a:ext>
          </a:extLst>
        </xdr:cNvPr>
        <xdr:cNvCxnSpPr>
          <a:stCxn id="59" idx="0"/>
          <a:endCxn id="51" idx="3"/>
        </xdr:cNvCxnSpPr>
      </xdr:nvCxnSpPr>
      <xdr:spPr bwMode="auto">
        <a:xfrm rot="10800000">
          <a:off x="5629276" y="5133976"/>
          <a:ext cx="1033465" cy="9525"/>
        </a:xfrm>
        <a:prstGeom prst="line">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29</xdr:row>
      <xdr:rowOff>38100</xdr:rowOff>
    </xdr:from>
    <xdr:to>
      <xdr:col>9</xdr:col>
      <xdr:colOff>371475</xdr:colOff>
      <xdr:row>30</xdr:row>
      <xdr:rowOff>0</xdr:rowOff>
    </xdr:to>
    <xdr:cxnSp macro="">
      <xdr:nvCxnSpPr>
        <xdr:cNvPr id="560850" name="Curved Connector 73">
          <a:extLst>
            <a:ext uri="{FF2B5EF4-FFF2-40B4-BE49-F238E27FC236}">
              <a16:creationId xmlns:a16="http://schemas.microsoft.com/office/drawing/2014/main" id="{67CFE494-2015-407E-9127-5617D7A0A359}"/>
            </a:ext>
          </a:extLst>
        </xdr:cNvPr>
        <xdr:cNvCxnSpPr>
          <a:cxnSpLocks noChangeShapeType="1"/>
        </xdr:cNvCxnSpPr>
      </xdr:nvCxnSpPr>
      <xdr:spPr bwMode="auto">
        <a:xfrm rot="12960000" flipH="1">
          <a:off x="6819900" y="5076825"/>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180975</xdr:colOff>
      <xdr:row>29</xdr:row>
      <xdr:rowOff>161925</xdr:rowOff>
    </xdr:from>
    <xdr:to>
      <xdr:col>9</xdr:col>
      <xdr:colOff>381000</xdr:colOff>
      <xdr:row>30</xdr:row>
      <xdr:rowOff>123825</xdr:rowOff>
    </xdr:to>
    <xdr:cxnSp macro="">
      <xdr:nvCxnSpPr>
        <xdr:cNvPr id="560851" name="Curved Connector 74">
          <a:extLst>
            <a:ext uri="{FF2B5EF4-FFF2-40B4-BE49-F238E27FC236}">
              <a16:creationId xmlns:a16="http://schemas.microsoft.com/office/drawing/2014/main" id="{DFEA0E97-4309-4C36-A810-6D4C490EE045}"/>
            </a:ext>
          </a:extLst>
        </xdr:cNvPr>
        <xdr:cNvCxnSpPr>
          <a:cxnSpLocks noChangeShapeType="1"/>
        </xdr:cNvCxnSpPr>
      </xdr:nvCxnSpPr>
      <xdr:spPr bwMode="auto">
        <a:xfrm rot="12960000" flipH="1">
          <a:off x="6829425" y="5200650"/>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200025</xdr:colOff>
      <xdr:row>30</xdr:row>
      <xdr:rowOff>123825</xdr:rowOff>
    </xdr:from>
    <xdr:to>
      <xdr:col>9</xdr:col>
      <xdr:colOff>400050</xdr:colOff>
      <xdr:row>31</xdr:row>
      <xdr:rowOff>85725</xdr:rowOff>
    </xdr:to>
    <xdr:cxnSp macro="">
      <xdr:nvCxnSpPr>
        <xdr:cNvPr id="560852" name="Curved Connector 75">
          <a:extLst>
            <a:ext uri="{FF2B5EF4-FFF2-40B4-BE49-F238E27FC236}">
              <a16:creationId xmlns:a16="http://schemas.microsoft.com/office/drawing/2014/main" id="{861E8FDD-DD4F-467D-8FDE-03A0AB1E9D39}"/>
            </a:ext>
          </a:extLst>
        </xdr:cNvPr>
        <xdr:cNvCxnSpPr>
          <a:cxnSpLocks noChangeShapeType="1"/>
        </xdr:cNvCxnSpPr>
      </xdr:nvCxnSpPr>
      <xdr:spPr bwMode="auto">
        <a:xfrm rot="12960000" flipH="1">
          <a:off x="6848475" y="5334000"/>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266700</xdr:colOff>
      <xdr:row>29</xdr:row>
      <xdr:rowOff>19050</xdr:rowOff>
    </xdr:from>
    <xdr:to>
      <xdr:col>9</xdr:col>
      <xdr:colOff>304800</xdr:colOff>
      <xdr:row>29</xdr:row>
      <xdr:rowOff>161925</xdr:rowOff>
    </xdr:to>
    <xdr:cxnSp macro="">
      <xdr:nvCxnSpPr>
        <xdr:cNvPr id="560853" name="Straight Connector 77">
          <a:extLst>
            <a:ext uri="{FF2B5EF4-FFF2-40B4-BE49-F238E27FC236}">
              <a16:creationId xmlns:a16="http://schemas.microsoft.com/office/drawing/2014/main" id="{F4A86E78-07AF-4B39-81E3-90BFD4A12B59}"/>
            </a:ext>
          </a:extLst>
        </xdr:cNvPr>
        <xdr:cNvCxnSpPr>
          <a:cxnSpLocks noChangeShapeType="1"/>
        </xdr:cNvCxnSpPr>
      </xdr:nvCxnSpPr>
      <xdr:spPr bwMode="auto">
        <a:xfrm rot="5400000">
          <a:off x="6862762" y="5110163"/>
          <a:ext cx="142875" cy="381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285750</xdr:colOff>
      <xdr:row>30</xdr:row>
      <xdr:rowOff>114300</xdr:rowOff>
    </xdr:from>
    <xdr:to>
      <xdr:col>9</xdr:col>
      <xdr:colOff>323850</xdr:colOff>
      <xdr:row>31</xdr:row>
      <xdr:rowOff>85725</xdr:rowOff>
    </xdr:to>
    <xdr:cxnSp macro="">
      <xdr:nvCxnSpPr>
        <xdr:cNvPr id="560854" name="Straight Connector 79">
          <a:extLst>
            <a:ext uri="{FF2B5EF4-FFF2-40B4-BE49-F238E27FC236}">
              <a16:creationId xmlns:a16="http://schemas.microsoft.com/office/drawing/2014/main" id="{6188692E-C35E-4C0D-8145-5F3298052F5C}"/>
            </a:ext>
          </a:extLst>
        </xdr:cNvPr>
        <xdr:cNvCxnSpPr>
          <a:cxnSpLocks noChangeShapeType="1"/>
        </xdr:cNvCxnSpPr>
      </xdr:nvCxnSpPr>
      <xdr:spPr bwMode="auto">
        <a:xfrm rot="5400000">
          <a:off x="6881812" y="5376863"/>
          <a:ext cx="142875" cy="381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514352</xdr:colOff>
      <xdr:row>63</xdr:row>
      <xdr:rowOff>152399</xdr:rowOff>
    </xdr:from>
    <xdr:to>
      <xdr:col>9</xdr:col>
      <xdr:colOff>495300</xdr:colOff>
      <xdr:row>70</xdr:row>
      <xdr:rowOff>114299</xdr:rowOff>
    </xdr:to>
    <xdr:cxnSp macro="">
      <xdr:nvCxnSpPr>
        <xdr:cNvPr id="81" name="Straight Connector 80">
          <a:extLst>
            <a:ext uri="{FF2B5EF4-FFF2-40B4-BE49-F238E27FC236}">
              <a16:creationId xmlns:a16="http://schemas.microsoft.com/office/drawing/2014/main" id="{6D689E6F-0E0F-42BB-9721-B8E529FCEBDC}"/>
            </a:ext>
          </a:extLst>
        </xdr:cNvPr>
        <xdr:cNvCxnSpPr/>
      </xdr:nvCxnSpPr>
      <xdr:spPr bwMode="auto">
        <a:xfrm rot="10800000" flipV="1">
          <a:off x="4171952" y="1590674"/>
          <a:ext cx="1200148" cy="111442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352425</xdr:colOff>
      <xdr:row>69</xdr:row>
      <xdr:rowOff>104775</xdr:rowOff>
    </xdr:from>
    <xdr:to>
      <xdr:col>8</xdr:col>
      <xdr:colOff>47625</xdr:colOff>
      <xdr:row>71</xdr:row>
      <xdr:rowOff>114300</xdr:rowOff>
    </xdr:to>
    <xdr:cxnSp macro="">
      <xdr:nvCxnSpPr>
        <xdr:cNvPr id="560856" name="Straight Connector 4">
          <a:extLst>
            <a:ext uri="{FF2B5EF4-FFF2-40B4-BE49-F238E27FC236}">
              <a16:creationId xmlns:a16="http://schemas.microsoft.com/office/drawing/2014/main" id="{2C23D1C0-9212-4372-8FEC-8A5C921F0B87}"/>
            </a:ext>
          </a:extLst>
        </xdr:cNvPr>
        <xdr:cNvCxnSpPr>
          <a:cxnSpLocks noChangeShapeType="1"/>
        </xdr:cNvCxnSpPr>
      </xdr:nvCxnSpPr>
      <xdr:spPr bwMode="auto">
        <a:xfrm rot="16200000" flipH="1">
          <a:off x="5757862" y="11863388"/>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561975</xdr:colOff>
      <xdr:row>68</xdr:row>
      <xdr:rowOff>95250</xdr:rowOff>
    </xdr:from>
    <xdr:to>
      <xdr:col>8</xdr:col>
      <xdr:colOff>257175</xdr:colOff>
      <xdr:row>70</xdr:row>
      <xdr:rowOff>104775</xdr:rowOff>
    </xdr:to>
    <xdr:cxnSp macro="">
      <xdr:nvCxnSpPr>
        <xdr:cNvPr id="83" name="Straight Connector 5">
          <a:extLst>
            <a:ext uri="{FF2B5EF4-FFF2-40B4-BE49-F238E27FC236}">
              <a16:creationId xmlns:a16="http://schemas.microsoft.com/office/drawing/2014/main" id="{CDFFCCB6-BA62-4317-A3AD-051432D6785B}"/>
            </a:ext>
          </a:extLst>
        </xdr:cNvPr>
        <xdr:cNvCxnSpPr>
          <a:cxnSpLocks noChangeShapeType="1"/>
        </xdr:cNvCxnSpPr>
      </xdr:nvCxnSpPr>
      <xdr:spPr bwMode="auto">
        <a:xfrm rot="16200000" flipH="1">
          <a:off x="4205287" y="2376488"/>
          <a:ext cx="333375" cy="304800"/>
        </a:xfrm>
        <a:prstGeom prst="line">
          <a:avLst/>
        </a:prstGeom>
        <a:ln w="19050">
          <a:headEnd/>
          <a:tailEnd/>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180975</xdr:colOff>
      <xdr:row>67</xdr:row>
      <xdr:rowOff>28575</xdr:rowOff>
    </xdr:from>
    <xdr:to>
      <xdr:col>8</xdr:col>
      <xdr:colOff>485775</xdr:colOff>
      <xdr:row>69</xdr:row>
      <xdr:rowOff>38100</xdr:rowOff>
    </xdr:to>
    <xdr:cxnSp macro="">
      <xdr:nvCxnSpPr>
        <xdr:cNvPr id="560858" name="Straight Connector 7">
          <a:extLst>
            <a:ext uri="{FF2B5EF4-FFF2-40B4-BE49-F238E27FC236}">
              <a16:creationId xmlns:a16="http://schemas.microsoft.com/office/drawing/2014/main" id="{7F8A9EA4-7829-49A0-8FE7-B1B2535A09DC}"/>
            </a:ext>
          </a:extLst>
        </xdr:cNvPr>
        <xdr:cNvCxnSpPr>
          <a:cxnSpLocks noChangeShapeType="1"/>
        </xdr:cNvCxnSpPr>
      </xdr:nvCxnSpPr>
      <xdr:spPr bwMode="auto">
        <a:xfrm rot="16200000" flipH="1">
          <a:off x="6200775" y="11449050"/>
          <a:ext cx="342900"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38100</xdr:colOff>
      <xdr:row>68</xdr:row>
      <xdr:rowOff>19050</xdr:rowOff>
    </xdr:from>
    <xdr:to>
      <xdr:col>8</xdr:col>
      <xdr:colOff>342900</xdr:colOff>
      <xdr:row>70</xdr:row>
      <xdr:rowOff>28575</xdr:rowOff>
    </xdr:to>
    <xdr:cxnSp macro="">
      <xdr:nvCxnSpPr>
        <xdr:cNvPr id="560859" name="Straight Connector 8">
          <a:extLst>
            <a:ext uri="{FF2B5EF4-FFF2-40B4-BE49-F238E27FC236}">
              <a16:creationId xmlns:a16="http://schemas.microsoft.com/office/drawing/2014/main" id="{9C90DB9B-A679-4218-9FF8-37BF156F9ECF}"/>
            </a:ext>
          </a:extLst>
        </xdr:cNvPr>
        <xdr:cNvCxnSpPr>
          <a:cxnSpLocks noChangeShapeType="1"/>
        </xdr:cNvCxnSpPr>
      </xdr:nvCxnSpPr>
      <xdr:spPr bwMode="auto">
        <a:xfrm rot="16200000" flipH="1">
          <a:off x="6057900" y="11610975"/>
          <a:ext cx="342900"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95250</xdr:colOff>
      <xdr:row>64</xdr:row>
      <xdr:rowOff>47625</xdr:rowOff>
    </xdr:from>
    <xdr:to>
      <xdr:col>9</xdr:col>
      <xdr:colOff>400050</xdr:colOff>
      <xdr:row>66</xdr:row>
      <xdr:rowOff>57150</xdr:rowOff>
    </xdr:to>
    <xdr:cxnSp macro="">
      <xdr:nvCxnSpPr>
        <xdr:cNvPr id="560860" name="Straight Connector 11">
          <a:extLst>
            <a:ext uri="{FF2B5EF4-FFF2-40B4-BE49-F238E27FC236}">
              <a16:creationId xmlns:a16="http://schemas.microsoft.com/office/drawing/2014/main" id="{317A9730-6D38-4C40-B2F5-57BF5CBE2737}"/>
            </a:ext>
          </a:extLst>
        </xdr:cNvPr>
        <xdr:cNvCxnSpPr>
          <a:cxnSpLocks noChangeShapeType="1"/>
        </xdr:cNvCxnSpPr>
      </xdr:nvCxnSpPr>
      <xdr:spPr bwMode="auto">
        <a:xfrm rot="16200000" flipH="1">
          <a:off x="6719887" y="10958513"/>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533400</xdr:colOff>
      <xdr:row>65</xdr:row>
      <xdr:rowOff>47625</xdr:rowOff>
    </xdr:from>
    <xdr:to>
      <xdr:col>9</xdr:col>
      <xdr:colOff>228600</xdr:colOff>
      <xdr:row>67</xdr:row>
      <xdr:rowOff>57150</xdr:rowOff>
    </xdr:to>
    <xdr:cxnSp macro="">
      <xdr:nvCxnSpPr>
        <xdr:cNvPr id="560861" name="Straight Connector 12">
          <a:extLst>
            <a:ext uri="{FF2B5EF4-FFF2-40B4-BE49-F238E27FC236}">
              <a16:creationId xmlns:a16="http://schemas.microsoft.com/office/drawing/2014/main" id="{E2E22C10-E5FD-4FB4-87F8-D99348CE02DC}"/>
            </a:ext>
          </a:extLst>
        </xdr:cNvPr>
        <xdr:cNvCxnSpPr>
          <a:cxnSpLocks noChangeShapeType="1"/>
        </xdr:cNvCxnSpPr>
      </xdr:nvCxnSpPr>
      <xdr:spPr bwMode="auto">
        <a:xfrm rot="16200000" flipH="1">
          <a:off x="6548437" y="11129963"/>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352425</xdr:colOff>
      <xdr:row>66</xdr:row>
      <xdr:rowOff>57150</xdr:rowOff>
    </xdr:from>
    <xdr:to>
      <xdr:col>9</xdr:col>
      <xdr:colOff>47625</xdr:colOff>
      <xdr:row>68</xdr:row>
      <xdr:rowOff>66675</xdr:rowOff>
    </xdr:to>
    <xdr:cxnSp macro="">
      <xdr:nvCxnSpPr>
        <xdr:cNvPr id="560862" name="Straight Connector 13">
          <a:extLst>
            <a:ext uri="{FF2B5EF4-FFF2-40B4-BE49-F238E27FC236}">
              <a16:creationId xmlns:a16="http://schemas.microsoft.com/office/drawing/2014/main" id="{BDD3DB7C-AA3B-49A3-8316-B544B26ACF73}"/>
            </a:ext>
          </a:extLst>
        </xdr:cNvPr>
        <xdr:cNvCxnSpPr>
          <a:cxnSpLocks noChangeShapeType="1"/>
        </xdr:cNvCxnSpPr>
      </xdr:nvCxnSpPr>
      <xdr:spPr bwMode="auto">
        <a:xfrm rot="16200000" flipH="1">
          <a:off x="6367462" y="11310938"/>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13</xdr:col>
      <xdr:colOff>319689</xdr:colOff>
      <xdr:row>67</xdr:row>
      <xdr:rowOff>105809</xdr:rowOff>
    </xdr:from>
    <xdr:to>
      <xdr:col>15</xdr:col>
      <xdr:colOff>335811</xdr:colOff>
      <xdr:row>70</xdr:row>
      <xdr:rowOff>93480</xdr:rowOff>
    </xdr:to>
    <xdr:sp macro="" textlink="">
      <xdr:nvSpPr>
        <xdr:cNvPr id="90" name="Chord 89">
          <a:extLst>
            <a:ext uri="{FF2B5EF4-FFF2-40B4-BE49-F238E27FC236}">
              <a16:creationId xmlns:a16="http://schemas.microsoft.com/office/drawing/2014/main" id="{7E6BB777-542E-4D70-B1A0-81E390ED4493}"/>
            </a:ext>
          </a:extLst>
        </xdr:cNvPr>
        <xdr:cNvSpPr/>
      </xdr:nvSpPr>
      <xdr:spPr bwMode="auto">
        <a:xfrm rot="18727733">
          <a:off x="8173424" y="1824699"/>
          <a:ext cx="482971" cy="1236191"/>
        </a:xfrm>
        <a:prstGeom prst="chord">
          <a:avLst>
            <a:gd name="adj1" fmla="val 5385842"/>
            <a:gd name="adj2" fmla="val 16200000"/>
          </a:avLst>
        </a:prstGeom>
        <a:solidFill>
          <a:schemeClr val="bg1">
            <a:lumMod val="50000"/>
          </a:schemeClr>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13</xdr:col>
      <xdr:colOff>476250</xdr:colOff>
      <xdr:row>66</xdr:row>
      <xdr:rowOff>85725</xdr:rowOff>
    </xdr:from>
    <xdr:to>
      <xdr:col>15</xdr:col>
      <xdr:colOff>85725</xdr:colOff>
      <xdr:row>66</xdr:row>
      <xdr:rowOff>114300</xdr:rowOff>
    </xdr:to>
    <xdr:cxnSp macro="">
      <xdr:nvCxnSpPr>
        <xdr:cNvPr id="560864" name="Straight Connector 17">
          <a:extLst>
            <a:ext uri="{FF2B5EF4-FFF2-40B4-BE49-F238E27FC236}">
              <a16:creationId xmlns:a16="http://schemas.microsoft.com/office/drawing/2014/main" id="{85BD7CAE-5C7E-40A7-BCB5-A7DAE5E8FC80}"/>
            </a:ext>
          </a:extLst>
        </xdr:cNvPr>
        <xdr:cNvCxnSpPr>
          <a:cxnSpLocks noChangeShapeType="1"/>
          <a:stCxn id="90" idx="1"/>
        </xdr:cNvCxnSpPr>
      </xdr:nvCxnSpPr>
      <xdr:spPr bwMode="auto">
        <a:xfrm rot="10800000" flipH="1" flipV="1">
          <a:off x="9820275" y="11315700"/>
          <a:ext cx="828675" cy="285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15</xdr:col>
      <xdr:colOff>114300</xdr:colOff>
      <xdr:row>66</xdr:row>
      <xdr:rowOff>123825</xdr:rowOff>
    </xdr:from>
    <xdr:to>
      <xdr:col>15</xdr:col>
      <xdr:colOff>180975</xdr:colOff>
      <xdr:row>71</xdr:row>
      <xdr:rowOff>104775</xdr:rowOff>
    </xdr:to>
    <xdr:cxnSp macro="">
      <xdr:nvCxnSpPr>
        <xdr:cNvPr id="560865" name="Straight Connector 20">
          <a:extLst>
            <a:ext uri="{FF2B5EF4-FFF2-40B4-BE49-F238E27FC236}">
              <a16:creationId xmlns:a16="http://schemas.microsoft.com/office/drawing/2014/main" id="{F2C98E3D-C886-4205-8638-A042E80E35F5}"/>
            </a:ext>
          </a:extLst>
        </xdr:cNvPr>
        <xdr:cNvCxnSpPr>
          <a:cxnSpLocks noChangeShapeType="1"/>
          <a:endCxn id="90" idx="0"/>
        </xdr:cNvCxnSpPr>
      </xdr:nvCxnSpPr>
      <xdr:spPr bwMode="auto">
        <a:xfrm rot="16200000" flipH="1">
          <a:off x="10296525" y="11734800"/>
          <a:ext cx="8286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15</xdr:col>
      <xdr:colOff>85725</xdr:colOff>
      <xdr:row>66</xdr:row>
      <xdr:rowOff>9525</xdr:rowOff>
    </xdr:from>
    <xdr:to>
      <xdr:col>15</xdr:col>
      <xdr:colOff>180975</xdr:colOff>
      <xdr:row>67</xdr:row>
      <xdr:rowOff>38100</xdr:rowOff>
    </xdr:to>
    <xdr:sp macro="" textlink="">
      <xdr:nvSpPr>
        <xdr:cNvPr id="560866" name="Can 24">
          <a:extLst>
            <a:ext uri="{FF2B5EF4-FFF2-40B4-BE49-F238E27FC236}">
              <a16:creationId xmlns:a16="http://schemas.microsoft.com/office/drawing/2014/main" id="{7285FD1C-2768-4CB9-89FA-F641587B7F38}"/>
            </a:ext>
          </a:extLst>
        </xdr:cNvPr>
        <xdr:cNvSpPr>
          <a:spLocks noChangeArrowheads="1"/>
        </xdr:cNvSpPr>
      </xdr:nvSpPr>
      <xdr:spPr bwMode="auto">
        <a:xfrm rot="2580000">
          <a:off x="10648950" y="11239500"/>
          <a:ext cx="95250" cy="200025"/>
        </a:xfrm>
        <a:prstGeom prst="can">
          <a:avLst>
            <a:gd name="adj" fmla="val 24996"/>
          </a:avLst>
        </a:prstGeom>
        <a:solidFill>
          <a:srgbClr val="00B0F0"/>
        </a:solidFill>
        <a:ln w="9525" algn="ctr">
          <a:solidFill>
            <a:srgbClr val="000000"/>
          </a:solidFill>
          <a:round/>
          <a:headEnd/>
          <a:tailEnd/>
        </a:ln>
      </xdr:spPr>
    </xdr:sp>
    <xdr:clientData/>
  </xdr:twoCellAnchor>
  <xdr:twoCellAnchor>
    <xdr:from>
      <xdr:col>13</xdr:col>
      <xdr:colOff>581025</xdr:colOff>
      <xdr:row>70</xdr:row>
      <xdr:rowOff>57150</xdr:rowOff>
    </xdr:from>
    <xdr:to>
      <xdr:col>14</xdr:col>
      <xdr:colOff>323850</xdr:colOff>
      <xdr:row>74</xdr:row>
      <xdr:rowOff>28575</xdr:rowOff>
    </xdr:to>
    <xdr:sp macro="" textlink="">
      <xdr:nvSpPr>
        <xdr:cNvPr id="560867" name="Isosceles Triangle 25">
          <a:extLst>
            <a:ext uri="{FF2B5EF4-FFF2-40B4-BE49-F238E27FC236}">
              <a16:creationId xmlns:a16="http://schemas.microsoft.com/office/drawing/2014/main" id="{FBBD8147-209F-4DA4-AD8F-870F774AC137}"/>
            </a:ext>
          </a:extLst>
        </xdr:cNvPr>
        <xdr:cNvSpPr>
          <a:spLocks noChangeArrowheads="1"/>
        </xdr:cNvSpPr>
      </xdr:nvSpPr>
      <xdr:spPr bwMode="auto">
        <a:xfrm>
          <a:off x="9925050" y="11963400"/>
          <a:ext cx="352425" cy="657225"/>
        </a:xfrm>
        <a:prstGeom prst="triangle">
          <a:avLst>
            <a:gd name="adj" fmla="val 50000"/>
          </a:avLst>
        </a:prstGeom>
        <a:solidFill>
          <a:srgbClr val="00B0F0"/>
        </a:solidFill>
        <a:ln w="9525" algn="ctr">
          <a:solidFill>
            <a:srgbClr val="000000"/>
          </a:solidFill>
          <a:round/>
          <a:headEnd/>
          <a:tailEnd/>
        </a:ln>
      </xdr:spPr>
    </xdr:sp>
    <xdr:clientData/>
  </xdr:twoCellAnchor>
  <xdr:twoCellAnchor>
    <xdr:from>
      <xdr:col>14</xdr:col>
      <xdr:colOff>76199</xdr:colOff>
      <xdr:row>70</xdr:row>
      <xdr:rowOff>47625</xdr:rowOff>
    </xdr:from>
    <xdr:to>
      <xdr:col>14</xdr:col>
      <xdr:colOff>276224</xdr:colOff>
      <xdr:row>70</xdr:row>
      <xdr:rowOff>142875</xdr:rowOff>
    </xdr:to>
    <xdr:sp macro="" textlink="">
      <xdr:nvSpPr>
        <xdr:cNvPr id="95" name="Snip Same Side Corner Rectangle 94">
          <a:extLst>
            <a:ext uri="{FF2B5EF4-FFF2-40B4-BE49-F238E27FC236}">
              <a16:creationId xmlns:a16="http://schemas.microsoft.com/office/drawing/2014/main" id="{94837C48-E010-483F-8427-CF31B82C1D67}"/>
            </a:ext>
          </a:extLst>
        </xdr:cNvPr>
        <xdr:cNvSpPr/>
      </xdr:nvSpPr>
      <xdr:spPr bwMode="auto">
        <a:xfrm rot="-8460000">
          <a:off x="8162924" y="2638425"/>
          <a:ext cx="200025" cy="95250"/>
        </a:xfrm>
        <a:prstGeom prst="snip2Same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9</xdr:col>
      <xdr:colOff>590550</xdr:colOff>
      <xdr:row>58</xdr:row>
      <xdr:rowOff>133350</xdr:rowOff>
    </xdr:from>
    <xdr:to>
      <xdr:col>11</xdr:col>
      <xdr:colOff>200025</xdr:colOff>
      <xdr:row>63</xdr:row>
      <xdr:rowOff>57150</xdr:rowOff>
    </xdr:to>
    <xdr:cxnSp macro="">
      <xdr:nvCxnSpPr>
        <xdr:cNvPr id="560869" name="Straight Connector 95">
          <a:extLst>
            <a:ext uri="{FF2B5EF4-FFF2-40B4-BE49-F238E27FC236}">
              <a16:creationId xmlns:a16="http://schemas.microsoft.com/office/drawing/2014/main" id="{DEA560D5-0099-44E6-9E62-7F760D90D652}"/>
            </a:ext>
          </a:extLst>
        </xdr:cNvPr>
        <xdr:cNvCxnSpPr>
          <a:cxnSpLocks noChangeShapeType="1"/>
        </xdr:cNvCxnSpPr>
      </xdr:nvCxnSpPr>
      <xdr:spPr bwMode="auto">
        <a:xfrm flipV="1">
          <a:off x="7239000" y="10029825"/>
          <a:ext cx="923925" cy="752475"/>
        </a:xfrm>
        <a:prstGeom prst="line">
          <a:avLst/>
        </a:prstGeom>
        <a:noFill/>
        <a:ln w="9525" algn="ctr">
          <a:solidFill>
            <a:srgbClr val="000000"/>
          </a:solidFill>
          <a:prstDash val="lgDashDot"/>
          <a:round/>
          <a:headEnd/>
          <a:tailEnd/>
        </a:ln>
        <a:extLst>
          <a:ext uri="{909E8E84-426E-40DD-AFC4-6F175D3DCCD1}">
            <a14:hiddenFill xmlns:a14="http://schemas.microsoft.com/office/drawing/2010/main">
              <a:noFill/>
            </a14:hiddenFill>
          </a:ext>
        </a:extLst>
      </xdr:spPr>
    </xdr:cxnSp>
    <xdr:clientData/>
  </xdr:twoCellAnchor>
  <xdr:twoCellAnchor>
    <xdr:from>
      <xdr:col>9</xdr:col>
      <xdr:colOff>581025</xdr:colOff>
      <xdr:row>57</xdr:row>
      <xdr:rowOff>152400</xdr:rowOff>
    </xdr:from>
    <xdr:to>
      <xdr:col>11</xdr:col>
      <xdr:colOff>66675</xdr:colOff>
      <xdr:row>63</xdr:row>
      <xdr:rowOff>47625</xdr:rowOff>
    </xdr:to>
    <xdr:cxnSp macro="">
      <xdr:nvCxnSpPr>
        <xdr:cNvPr id="560870" name="Straight Arrow Connector 96">
          <a:extLst>
            <a:ext uri="{FF2B5EF4-FFF2-40B4-BE49-F238E27FC236}">
              <a16:creationId xmlns:a16="http://schemas.microsoft.com/office/drawing/2014/main" id="{BF483B1C-8288-4BA7-B19D-0768B0325877}"/>
            </a:ext>
          </a:extLst>
        </xdr:cNvPr>
        <xdr:cNvCxnSpPr>
          <a:cxnSpLocks noChangeShapeType="1"/>
        </xdr:cNvCxnSpPr>
      </xdr:nvCxnSpPr>
      <xdr:spPr bwMode="auto">
        <a:xfrm rot="5400000" flipH="1" flipV="1">
          <a:off x="7186612" y="9929813"/>
          <a:ext cx="885825" cy="800100"/>
        </a:xfrm>
        <a:prstGeom prst="straightConnector1">
          <a:avLst/>
        </a:prstGeom>
        <a:noFill/>
        <a:ln w="9525" algn="ctr">
          <a:solidFill>
            <a:srgbClr val="000000"/>
          </a:solidFill>
          <a:round/>
          <a:headEnd type="triangle" w="med" len="med"/>
          <a:tailEnd/>
        </a:ln>
        <a:extLst>
          <a:ext uri="{909E8E84-426E-40DD-AFC4-6F175D3DCCD1}">
            <a14:hiddenFill xmlns:a14="http://schemas.microsoft.com/office/drawing/2010/main">
              <a:noFill/>
            </a14:hiddenFill>
          </a:ext>
        </a:extLst>
      </xdr:spPr>
    </xdr:cxnSp>
    <xdr:clientData/>
  </xdr:twoCellAnchor>
  <xdr:twoCellAnchor>
    <xdr:from>
      <xdr:col>15</xdr:col>
      <xdr:colOff>266700</xdr:colOff>
      <xdr:row>60</xdr:row>
      <xdr:rowOff>114300</xdr:rowOff>
    </xdr:from>
    <xdr:to>
      <xdr:col>16</xdr:col>
      <xdr:colOff>476250</xdr:colOff>
      <xdr:row>65</xdr:row>
      <xdr:rowOff>104775</xdr:rowOff>
    </xdr:to>
    <xdr:cxnSp macro="">
      <xdr:nvCxnSpPr>
        <xdr:cNvPr id="560871" name="Straight Connector 97">
          <a:extLst>
            <a:ext uri="{FF2B5EF4-FFF2-40B4-BE49-F238E27FC236}">
              <a16:creationId xmlns:a16="http://schemas.microsoft.com/office/drawing/2014/main" id="{60E023B1-57CD-4A1C-B288-255DE75F365A}"/>
            </a:ext>
          </a:extLst>
        </xdr:cNvPr>
        <xdr:cNvCxnSpPr>
          <a:cxnSpLocks noChangeShapeType="1"/>
        </xdr:cNvCxnSpPr>
      </xdr:nvCxnSpPr>
      <xdr:spPr bwMode="auto">
        <a:xfrm rot="5400000" flipH="1" flipV="1">
          <a:off x="10825162" y="10339388"/>
          <a:ext cx="828675" cy="819150"/>
        </a:xfrm>
        <a:prstGeom prst="line">
          <a:avLst/>
        </a:prstGeom>
        <a:noFill/>
        <a:ln w="9525" algn="ctr">
          <a:solidFill>
            <a:srgbClr val="000000"/>
          </a:solidFill>
          <a:prstDash val="lgDashDot"/>
          <a:round/>
          <a:headEnd/>
          <a:tailEnd/>
        </a:ln>
        <a:extLst>
          <a:ext uri="{909E8E84-426E-40DD-AFC4-6F175D3DCCD1}">
            <a14:hiddenFill xmlns:a14="http://schemas.microsoft.com/office/drawing/2010/main">
              <a:noFill/>
            </a14:hiddenFill>
          </a:ext>
        </a:extLst>
      </xdr:spPr>
    </xdr:cxnSp>
    <xdr:clientData/>
  </xdr:twoCellAnchor>
  <xdr:twoCellAnchor>
    <xdr:from>
      <xdr:col>15</xdr:col>
      <xdr:colOff>276226</xdr:colOff>
      <xdr:row>60</xdr:row>
      <xdr:rowOff>38100</xdr:rowOff>
    </xdr:from>
    <xdr:to>
      <xdr:col>16</xdr:col>
      <xdr:colOff>371478</xdr:colOff>
      <xdr:row>65</xdr:row>
      <xdr:rowOff>95251</xdr:rowOff>
    </xdr:to>
    <xdr:cxnSp macro="">
      <xdr:nvCxnSpPr>
        <xdr:cNvPr id="99" name="Straight Arrow Connector 98">
          <a:extLst>
            <a:ext uri="{FF2B5EF4-FFF2-40B4-BE49-F238E27FC236}">
              <a16:creationId xmlns:a16="http://schemas.microsoft.com/office/drawing/2014/main" id="{B3CC82B9-BCAE-4B53-A480-8F45FC0C0C03}"/>
            </a:ext>
          </a:extLst>
        </xdr:cNvPr>
        <xdr:cNvCxnSpPr/>
      </xdr:nvCxnSpPr>
      <xdr:spPr bwMode="auto">
        <a:xfrm rot="5400000" flipH="1" flipV="1">
          <a:off x="8886826" y="1066800"/>
          <a:ext cx="876301" cy="704852"/>
        </a:xfrm>
        <a:prstGeom prst="straightConnector1">
          <a:avLst/>
        </a:prstGeom>
        <a:ln>
          <a:headEnd type="triangl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11</xdr:col>
      <xdr:colOff>57150</xdr:colOff>
      <xdr:row>57</xdr:row>
      <xdr:rowOff>123825</xdr:rowOff>
    </xdr:from>
    <xdr:to>
      <xdr:col>11</xdr:col>
      <xdr:colOff>219075</xdr:colOff>
      <xdr:row>59</xdr:row>
      <xdr:rowOff>28575</xdr:rowOff>
    </xdr:to>
    <xdr:sp macro="" textlink="">
      <xdr:nvSpPr>
        <xdr:cNvPr id="374642" name="TextBox 99">
          <a:extLst>
            <a:ext uri="{FF2B5EF4-FFF2-40B4-BE49-F238E27FC236}">
              <a16:creationId xmlns:a16="http://schemas.microsoft.com/office/drawing/2014/main" id="{5EE40FDA-EA2E-44AE-BD29-97DC5FE58C91}"/>
            </a:ext>
          </a:extLst>
        </xdr:cNvPr>
        <xdr:cNvSpPr txBox="1">
          <a:spLocks noChangeArrowheads="1"/>
        </xdr:cNvSpPr>
      </xdr:nvSpPr>
      <xdr:spPr bwMode="auto">
        <a:xfrm>
          <a:off x="8020050" y="9858375"/>
          <a:ext cx="161925" cy="228600"/>
        </a:xfrm>
        <a:prstGeom prst="rect">
          <a:avLst/>
        </a:prstGeom>
        <a:noFill/>
        <a:ln>
          <a:noFill/>
        </a:ln>
      </xdr:spPr>
      <xdr:txBody>
        <a:bodyPr vertOverflow="clip" wrap="square" lIns="27432" tIns="27432" rIns="0" bIns="0" anchor="t"/>
        <a:lstStyle/>
        <a:p>
          <a:pPr algn="l" rtl="0">
            <a:defRPr sz="1000"/>
          </a:pPr>
          <a:r>
            <a:rPr lang="en-AU" sz="1100" b="0" i="0" u="none" strike="noStrike" baseline="0">
              <a:solidFill>
                <a:srgbClr val="000000"/>
              </a:solidFill>
              <a:latin typeface="Symbol"/>
            </a:rPr>
            <a:t>q</a:t>
          </a:r>
          <a:endParaRPr lang="en-AU"/>
        </a:p>
      </xdr:txBody>
    </xdr:sp>
    <xdr:clientData/>
  </xdr:twoCellAnchor>
  <xdr:twoCellAnchor editAs="oneCell">
    <xdr:from>
      <xdr:col>16</xdr:col>
      <xdr:colOff>419100</xdr:colOff>
      <xdr:row>59</xdr:row>
      <xdr:rowOff>0</xdr:rowOff>
    </xdr:from>
    <xdr:to>
      <xdr:col>16</xdr:col>
      <xdr:colOff>600075</xdr:colOff>
      <xdr:row>60</xdr:row>
      <xdr:rowOff>66675</xdr:rowOff>
    </xdr:to>
    <xdr:sp macro="" textlink="">
      <xdr:nvSpPr>
        <xdr:cNvPr id="374643" name="TextBox 100">
          <a:extLst>
            <a:ext uri="{FF2B5EF4-FFF2-40B4-BE49-F238E27FC236}">
              <a16:creationId xmlns:a16="http://schemas.microsoft.com/office/drawing/2014/main" id="{59D84DD9-BF56-4D43-9E0C-38559220A576}"/>
            </a:ext>
          </a:extLst>
        </xdr:cNvPr>
        <xdr:cNvSpPr txBox="1">
          <a:spLocks noChangeArrowheads="1"/>
        </xdr:cNvSpPr>
      </xdr:nvSpPr>
      <xdr:spPr bwMode="auto">
        <a:xfrm>
          <a:off x="11591925" y="10058400"/>
          <a:ext cx="180975" cy="228600"/>
        </a:xfrm>
        <a:prstGeom prst="rect">
          <a:avLst/>
        </a:prstGeom>
        <a:noFill/>
        <a:ln>
          <a:noFill/>
        </a:ln>
      </xdr:spPr>
      <xdr:txBody>
        <a:bodyPr vertOverflow="clip" wrap="square" lIns="27432" tIns="27432" rIns="0" bIns="0" anchor="t"/>
        <a:lstStyle/>
        <a:p>
          <a:pPr algn="l" rtl="0">
            <a:defRPr sz="1000"/>
          </a:pPr>
          <a:r>
            <a:rPr lang="en-AU" sz="1100" b="0" i="0" u="none" strike="noStrike" baseline="0">
              <a:solidFill>
                <a:srgbClr val="000000"/>
              </a:solidFill>
              <a:latin typeface="Symbol"/>
            </a:rPr>
            <a:t>q</a:t>
          </a:r>
          <a:endParaRPr lang="en-AU"/>
        </a:p>
      </xdr:txBody>
    </xdr:sp>
    <xdr:clientData/>
  </xdr:twoCellAnchor>
  <xdr:twoCellAnchor>
    <xdr:from>
      <xdr:col>10</xdr:col>
      <xdr:colOff>457200</xdr:colOff>
      <xdr:row>61</xdr:row>
      <xdr:rowOff>76200</xdr:rowOff>
    </xdr:from>
    <xdr:to>
      <xdr:col>12</xdr:col>
      <xdr:colOff>285750</xdr:colOff>
      <xdr:row>61</xdr:row>
      <xdr:rowOff>77788</xdr:rowOff>
    </xdr:to>
    <xdr:cxnSp macro="">
      <xdr:nvCxnSpPr>
        <xdr:cNvPr id="102" name="Straight Arrow Connector 101">
          <a:extLst>
            <a:ext uri="{FF2B5EF4-FFF2-40B4-BE49-F238E27FC236}">
              <a16:creationId xmlns:a16="http://schemas.microsoft.com/office/drawing/2014/main" id="{AF14DB35-5119-4566-AA8A-E3387250A32A}"/>
            </a:ext>
          </a:extLst>
        </xdr:cNvPr>
        <xdr:cNvCxnSpPr/>
      </xdr:nvCxnSpPr>
      <xdr:spPr bwMode="auto">
        <a:xfrm rot="10800000">
          <a:off x="5943600" y="1190625"/>
          <a:ext cx="1047750"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xdr:col>
      <xdr:colOff>228600</xdr:colOff>
      <xdr:row>67</xdr:row>
      <xdr:rowOff>95250</xdr:rowOff>
    </xdr:from>
    <xdr:to>
      <xdr:col>10</xdr:col>
      <xdr:colOff>457202</xdr:colOff>
      <xdr:row>67</xdr:row>
      <xdr:rowOff>96840</xdr:rowOff>
    </xdr:to>
    <xdr:cxnSp macro="">
      <xdr:nvCxnSpPr>
        <xdr:cNvPr id="103" name="Straight Arrow Connector 102">
          <a:extLst>
            <a:ext uri="{FF2B5EF4-FFF2-40B4-BE49-F238E27FC236}">
              <a16:creationId xmlns:a16="http://schemas.microsoft.com/office/drawing/2014/main" id="{6DF4562B-51FF-4DAB-8A24-74B2DA823176}"/>
            </a:ext>
          </a:extLst>
        </xdr:cNvPr>
        <xdr:cNvCxnSpPr/>
      </xdr:nvCxnSpPr>
      <xdr:spPr bwMode="auto">
        <a:xfrm rot="10800000">
          <a:off x="5105400" y="2190750"/>
          <a:ext cx="838202" cy="1590"/>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14</xdr:col>
      <xdr:colOff>161925</xdr:colOff>
      <xdr:row>61</xdr:row>
      <xdr:rowOff>95250</xdr:rowOff>
    </xdr:from>
    <xdr:to>
      <xdr:col>16</xdr:col>
      <xdr:colOff>28575</xdr:colOff>
      <xdr:row>61</xdr:row>
      <xdr:rowOff>96839</xdr:rowOff>
    </xdr:to>
    <xdr:cxnSp macro="">
      <xdr:nvCxnSpPr>
        <xdr:cNvPr id="104" name="Straight Arrow Connector 103">
          <a:extLst>
            <a:ext uri="{FF2B5EF4-FFF2-40B4-BE49-F238E27FC236}">
              <a16:creationId xmlns:a16="http://schemas.microsoft.com/office/drawing/2014/main" id="{01DB2926-075F-46F9-A117-2774CFF0B6BE}"/>
            </a:ext>
          </a:extLst>
        </xdr:cNvPr>
        <xdr:cNvCxnSpPr/>
      </xdr:nvCxnSpPr>
      <xdr:spPr bwMode="auto">
        <a:xfrm flipV="1">
          <a:off x="8248650" y="1209675"/>
          <a:ext cx="1085850" cy="1589"/>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xdr:col>
      <xdr:colOff>142875</xdr:colOff>
      <xdr:row>67</xdr:row>
      <xdr:rowOff>104775</xdr:rowOff>
    </xdr:from>
    <xdr:to>
      <xdr:col>13</xdr:col>
      <xdr:colOff>323850</xdr:colOff>
      <xdr:row>67</xdr:row>
      <xdr:rowOff>106363</xdr:rowOff>
    </xdr:to>
    <xdr:cxnSp macro="">
      <xdr:nvCxnSpPr>
        <xdr:cNvPr id="105" name="Straight Arrow Connector 104">
          <a:extLst>
            <a:ext uri="{FF2B5EF4-FFF2-40B4-BE49-F238E27FC236}">
              <a16:creationId xmlns:a16="http://schemas.microsoft.com/office/drawing/2014/main" id="{3E96FE35-C4DB-45F4-89FF-27D34E5BD175}"/>
            </a:ext>
          </a:extLst>
        </xdr:cNvPr>
        <xdr:cNvCxnSpPr/>
      </xdr:nvCxnSpPr>
      <xdr:spPr bwMode="auto">
        <a:xfrm>
          <a:off x="6848475" y="2200275"/>
          <a:ext cx="952500"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xdr:col>
      <xdr:colOff>180976</xdr:colOff>
      <xdr:row>69</xdr:row>
      <xdr:rowOff>104775</xdr:rowOff>
    </xdr:from>
    <xdr:to>
      <xdr:col>8</xdr:col>
      <xdr:colOff>95251</xdr:colOff>
      <xdr:row>84</xdr:row>
      <xdr:rowOff>161925</xdr:rowOff>
    </xdr:to>
    <xdr:cxnSp macro="">
      <xdr:nvCxnSpPr>
        <xdr:cNvPr id="106" name="Elbow Connector 105">
          <a:extLst>
            <a:ext uri="{FF2B5EF4-FFF2-40B4-BE49-F238E27FC236}">
              <a16:creationId xmlns:a16="http://schemas.microsoft.com/office/drawing/2014/main" id="{9B26DE2C-BFBB-4167-BC53-3BA3E0253B34}"/>
            </a:ext>
          </a:extLst>
        </xdr:cNvPr>
        <xdr:cNvCxnSpPr/>
      </xdr:nvCxnSpPr>
      <xdr:spPr bwMode="auto">
        <a:xfrm rot="5400000">
          <a:off x="2838451" y="3533775"/>
          <a:ext cx="2524125" cy="523875"/>
        </a:xfrm>
        <a:prstGeom prst="bentConnector3">
          <a:avLst>
            <a:gd name="adj1" fmla="val 50000"/>
          </a:avLst>
        </a:prstGeom>
        <a:ln w="19050">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139605</xdr:colOff>
      <xdr:row>66</xdr:row>
      <xdr:rowOff>142017</xdr:rowOff>
    </xdr:from>
    <xdr:to>
      <xdr:col>15</xdr:col>
      <xdr:colOff>200025</xdr:colOff>
      <xdr:row>72</xdr:row>
      <xdr:rowOff>9525</xdr:rowOff>
    </xdr:to>
    <xdr:cxnSp macro="">
      <xdr:nvCxnSpPr>
        <xdr:cNvPr id="107" name="Straight Connector 106">
          <a:extLst>
            <a:ext uri="{FF2B5EF4-FFF2-40B4-BE49-F238E27FC236}">
              <a16:creationId xmlns:a16="http://schemas.microsoft.com/office/drawing/2014/main" id="{4FAE6DDA-F59D-449B-BEB5-54E5E4DF72A8}"/>
            </a:ext>
          </a:extLst>
        </xdr:cNvPr>
        <xdr:cNvCxnSpPr/>
      </xdr:nvCxnSpPr>
      <xdr:spPr bwMode="auto">
        <a:xfrm rot="16200000" flipH="1">
          <a:off x="8437086" y="2464911"/>
          <a:ext cx="858108" cy="60420"/>
        </a:xfrm>
        <a:prstGeom prst="line">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352425</xdr:colOff>
      <xdr:row>72</xdr:row>
      <xdr:rowOff>9524</xdr:rowOff>
    </xdr:from>
    <xdr:to>
      <xdr:col>15</xdr:col>
      <xdr:colOff>200025</xdr:colOff>
      <xdr:row>78</xdr:row>
      <xdr:rowOff>19049</xdr:rowOff>
    </xdr:to>
    <xdr:cxnSp macro="">
      <xdr:nvCxnSpPr>
        <xdr:cNvPr id="108" name="Elbow Connector 107">
          <a:extLst>
            <a:ext uri="{FF2B5EF4-FFF2-40B4-BE49-F238E27FC236}">
              <a16:creationId xmlns:a16="http://schemas.microsoft.com/office/drawing/2014/main" id="{259E4155-6AD9-4D02-B3BB-CD708F489D99}"/>
            </a:ext>
          </a:extLst>
        </xdr:cNvPr>
        <xdr:cNvCxnSpPr/>
      </xdr:nvCxnSpPr>
      <xdr:spPr bwMode="auto">
        <a:xfrm rot="10800000" flipV="1">
          <a:off x="4010025" y="2924174"/>
          <a:ext cx="4886325" cy="1019175"/>
        </a:xfrm>
        <a:prstGeom prst="bentConnector3">
          <a:avLst>
            <a:gd name="adj1" fmla="val 50000"/>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342900</xdr:colOff>
      <xdr:row>78</xdr:row>
      <xdr:rowOff>10320</xdr:rowOff>
    </xdr:from>
    <xdr:to>
      <xdr:col>7</xdr:col>
      <xdr:colOff>353219</xdr:colOff>
      <xdr:row>84</xdr:row>
      <xdr:rowOff>161926</xdr:rowOff>
    </xdr:to>
    <xdr:cxnSp macro="">
      <xdr:nvCxnSpPr>
        <xdr:cNvPr id="109" name="Straight Connector 108">
          <a:extLst>
            <a:ext uri="{FF2B5EF4-FFF2-40B4-BE49-F238E27FC236}">
              <a16:creationId xmlns:a16="http://schemas.microsoft.com/office/drawing/2014/main" id="{A5176413-C335-4219-A732-0432C972CAA6}"/>
            </a:ext>
          </a:extLst>
        </xdr:cNvPr>
        <xdr:cNvCxnSpPr/>
      </xdr:nvCxnSpPr>
      <xdr:spPr bwMode="auto">
        <a:xfrm rot="5400000">
          <a:off x="3444082" y="4491038"/>
          <a:ext cx="1123156" cy="10319"/>
        </a:xfrm>
        <a:prstGeom prst="line">
          <a:avLst/>
        </a:prstGeom>
        <a:ln w="19050">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447675</xdr:colOff>
      <xdr:row>83</xdr:row>
      <xdr:rowOff>142875</xdr:rowOff>
    </xdr:from>
    <xdr:to>
      <xdr:col>10</xdr:col>
      <xdr:colOff>142875</xdr:colOff>
      <xdr:row>86</xdr:row>
      <xdr:rowOff>152400</xdr:rowOff>
    </xdr:to>
    <xdr:sp macro="" textlink="">
      <xdr:nvSpPr>
        <xdr:cNvPr id="110" name="Rectangle 109">
          <a:extLst>
            <a:ext uri="{FF2B5EF4-FFF2-40B4-BE49-F238E27FC236}">
              <a16:creationId xmlns:a16="http://schemas.microsoft.com/office/drawing/2014/main" id="{902DEB6F-FDF1-4B22-A544-7800745B4D19}"/>
            </a:ext>
          </a:extLst>
        </xdr:cNvPr>
        <xdr:cNvSpPr/>
      </xdr:nvSpPr>
      <xdr:spPr bwMode="auto">
        <a:xfrm>
          <a:off x="4714875" y="4876800"/>
          <a:ext cx="914400" cy="514350"/>
        </a:xfrm>
        <a:prstGeom prst="rect">
          <a:avLst/>
        </a:prstGeom>
        <a:solidFill>
          <a:srgbClr val="00B0F0"/>
        </a:solid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wrap="square" lIns="18288" tIns="0" rIns="0" bIns="0" rtlCol="0" anchor="ctr" upright="1"/>
        <a:lstStyle/>
        <a:p>
          <a:endParaRPr lang="en-AU"/>
        </a:p>
      </xdr:txBody>
    </xdr:sp>
    <xdr:clientData/>
  </xdr:twoCellAnchor>
  <xdr:twoCellAnchor>
    <xdr:from>
      <xdr:col>8</xdr:col>
      <xdr:colOff>171451</xdr:colOff>
      <xdr:row>76</xdr:row>
      <xdr:rowOff>104775</xdr:rowOff>
    </xdr:from>
    <xdr:to>
      <xdr:col>9</xdr:col>
      <xdr:colOff>123828</xdr:colOff>
      <xdr:row>76</xdr:row>
      <xdr:rowOff>106365</xdr:rowOff>
    </xdr:to>
    <xdr:cxnSp macro="">
      <xdr:nvCxnSpPr>
        <xdr:cNvPr id="111" name="Straight Arrow Connector 110">
          <a:extLst>
            <a:ext uri="{FF2B5EF4-FFF2-40B4-BE49-F238E27FC236}">
              <a16:creationId xmlns:a16="http://schemas.microsoft.com/office/drawing/2014/main" id="{49BB4C99-C126-438D-AEA7-01406115E607}"/>
            </a:ext>
          </a:extLst>
        </xdr:cNvPr>
        <xdr:cNvCxnSpPr/>
      </xdr:nvCxnSpPr>
      <xdr:spPr bwMode="auto">
        <a:xfrm rot="10800000">
          <a:off x="4438651" y="3667125"/>
          <a:ext cx="561977" cy="1590"/>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xdr:col>
      <xdr:colOff>542925</xdr:colOff>
      <xdr:row>76</xdr:row>
      <xdr:rowOff>104775</xdr:rowOff>
    </xdr:from>
    <xdr:to>
      <xdr:col>11</xdr:col>
      <xdr:colOff>114300</xdr:colOff>
      <xdr:row>76</xdr:row>
      <xdr:rowOff>106363</xdr:rowOff>
    </xdr:to>
    <xdr:cxnSp macro="">
      <xdr:nvCxnSpPr>
        <xdr:cNvPr id="112" name="Straight Arrow Connector 111">
          <a:extLst>
            <a:ext uri="{FF2B5EF4-FFF2-40B4-BE49-F238E27FC236}">
              <a16:creationId xmlns:a16="http://schemas.microsoft.com/office/drawing/2014/main" id="{C418ECB6-EA50-4EA0-B988-5EC914AE928E}"/>
            </a:ext>
          </a:extLst>
        </xdr:cNvPr>
        <xdr:cNvCxnSpPr/>
      </xdr:nvCxnSpPr>
      <xdr:spPr bwMode="auto">
        <a:xfrm>
          <a:off x="5419725" y="3667125"/>
          <a:ext cx="790575"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566740</xdr:colOff>
      <xdr:row>83</xdr:row>
      <xdr:rowOff>80962</xdr:rowOff>
    </xdr:from>
    <xdr:to>
      <xdr:col>12</xdr:col>
      <xdr:colOff>719140</xdr:colOff>
      <xdr:row>87</xdr:row>
      <xdr:rowOff>71437</xdr:rowOff>
    </xdr:to>
    <xdr:sp macro="" textlink="">
      <xdr:nvSpPr>
        <xdr:cNvPr id="113" name="Isosceles Triangle 112">
          <a:extLst>
            <a:ext uri="{FF2B5EF4-FFF2-40B4-BE49-F238E27FC236}">
              <a16:creationId xmlns:a16="http://schemas.microsoft.com/office/drawing/2014/main" id="{4E844310-69D1-4745-AA15-138D126A5A6F}"/>
            </a:ext>
          </a:extLst>
        </xdr:cNvPr>
        <xdr:cNvSpPr/>
      </xdr:nvSpPr>
      <xdr:spPr bwMode="auto">
        <a:xfrm rot="5400000">
          <a:off x="6715127" y="13858875"/>
          <a:ext cx="657225" cy="762000"/>
        </a:xfrm>
        <a:prstGeom prst="triangle">
          <a:avLst/>
        </a:prstGeom>
        <a:solidFill>
          <a:srgbClr val="00B0F0"/>
        </a:solidFill>
        <a:ln w="19050"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LNA</a:t>
          </a:r>
        </a:p>
      </xdr:txBody>
    </xdr:sp>
    <xdr:clientData/>
  </xdr:twoCellAnchor>
  <xdr:twoCellAnchor>
    <xdr:from>
      <xdr:col>8</xdr:col>
      <xdr:colOff>0</xdr:colOff>
      <xdr:row>85</xdr:row>
      <xdr:rowOff>76200</xdr:rowOff>
    </xdr:from>
    <xdr:to>
      <xdr:col>8</xdr:col>
      <xdr:colOff>457200</xdr:colOff>
      <xdr:row>85</xdr:row>
      <xdr:rowOff>77788</xdr:rowOff>
    </xdr:to>
    <xdr:cxnSp macro="">
      <xdr:nvCxnSpPr>
        <xdr:cNvPr id="114" name="Straight Connector 113">
          <a:extLst>
            <a:ext uri="{FF2B5EF4-FFF2-40B4-BE49-F238E27FC236}">
              <a16:creationId xmlns:a16="http://schemas.microsoft.com/office/drawing/2014/main" id="{4A243DC5-2705-4F02-AE71-C7A3CCE71B95}"/>
            </a:ext>
          </a:extLst>
        </xdr:cNvPr>
        <xdr:cNvCxnSpPr/>
      </xdr:nvCxnSpPr>
      <xdr:spPr bwMode="auto">
        <a:xfrm>
          <a:off x="4267200" y="5143500"/>
          <a:ext cx="457200" cy="1588"/>
        </a:xfrm>
        <a:prstGeom prst="line">
          <a:avLst/>
        </a:prstGeom>
        <a:ln w="19050">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142876</xdr:colOff>
      <xdr:row>85</xdr:row>
      <xdr:rowOff>66675</xdr:rowOff>
    </xdr:from>
    <xdr:to>
      <xdr:col>11</xdr:col>
      <xdr:colOff>567141</xdr:colOff>
      <xdr:row>85</xdr:row>
      <xdr:rowOff>76201</xdr:rowOff>
    </xdr:to>
    <xdr:cxnSp macro="">
      <xdr:nvCxnSpPr>
        <xdr:cNvPr id="115" name="Straight Connector 114">
          <a:extLst>
            <a:ext uri="{FF2B5EF4-FFF2-40B4-BE49-F238E27FC236}">
              <a16:creationId xmlns:a16="http://schemas.microsoft.com/office/drawing/2014/main" id="{0F92E526-5763-4E4F-86C2-FF95EC3C8625}"/>
            </a:ext>
          </a:extLst>
        </xdr:cNvPr>
        <xdr:cNvCxnSpPr>
          <a:stCxn id="113" idx="3"/>
          <a:endCxn id="110" idx="3"/>
        </xdr:cNvCxnSpPr>
      </xdr:nvCxnSpPr>
      <xdr:spPr bwMode="auto">
        <a:xfrm rot="10800000">
          <a:off x="5629276" y="14230350"/>
          <a:ext cx="1033465" cy="9526"/>
        </a:xfrm>
        <a:prstGeom prst="line">
          <a:avLst/>
        </a:prstGeom>
        <a:ln w="19050">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84</xdr:row>
      <xdr:rowOff>38100</xdr:rowOff>
    </xdr:from>
    <xdr:to>
      <xdr:col>9</xdr:col>
      <xdr:colOff>371475</xdr:colOff>
      <xdr:row>85</xdr:row>
      <xdr:rowOff>0</xdr:rowOff>
    </xdr:to>
    <xdr:cxnSp macro="">
      <xdr:nvCxnSpPr>
        <xdr:cNvPr id="560889" name="Curved Connector 115">
          <a:extLst>
            <a:ext uri="{FF2B5EF4-FFF2-40B4-BE49-F238E27FC236}">
              <a16:creationId xmlns:a16="http://schemas.microsoft.com/office/drawing/2014/main" id="{8D8106A5-AC37-466B-9399-4609FF68B411}"/>
            </a:ext>
          </a:extLst>
        </xdr:cNvPr>
        <xdr:cNvCxnSpPr>
          <a:cxnSpLocks noChangeShapeType="1"/>
        </xdr:cNvCxnSpPr>
      </xdr:nvCxnSpPr>
      <xdr:spPr bwMode="auto">
        <a:xfrm rot="12960000" flipH="1">
          <a:off x="6819900" y="14363700"/>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180975</xdr:colOff>
      <xdr:row>84</xdr:row>
      <xdr:rowOff>161925</xdr:rowOff>
    </xdr:from>
    <xdr:to>
      <xdr:col>9</xdr:col>
      <xdr:colOff>381000</xdr:colOff>
      <xdr:row>85</xdr:row>
      <xdr:rowOff>123825</xdr:rowOff>
    </xdr:to>
    <xdr:cxnSp macro="">
      <xdr:nvCxnSpPr>
        <xdr:cNvPr id="560890" name="Curved Connector 116">
          <a:extLst>
            <a:ext uri="{FF2B5EF4-FFF2-40B4-BE49-F238E27FC236}">
              <a16:creationId xmlns:a16="http://schemas.microsoft.com/office/drawing/2014/main" id="{169C21FC-A4D5-4CE8-8EAF-036F55A5C967}"/>
            </a:ext>
          </a:extLst>
        </xdr:cNvPr>
        <xdr:cNvCxnSpPr>
          <a:cxnSpLocks noChangeShapeType="1"/>
        </xdr:cNvCxnSpPr>
      </xdr:nvCxnSpPr>
      <xdr:spPr bwMode="auto">
        <a:xfrm rot="12960000" flipH="1">
          <a:off x="6829425" y="14487525"/>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200025</xdr:colOff>
      <xdr:row>85</xdr:row>
      <xdr:rowOff>123825</xdr:rowOff>
    </xdr:from>
    <xdr:to>
      <xdr:col>9</xdr:col>
      <xdr:colOff>400050</xdr:colOff>
      <xdr:row>86</xdr:row>
      <xdr:rowOff>85725</xdr:rowOff>
    </xdr:to>
    <xdr:cxnSp macro="">
      <xdr:nvCxnSpPr>
        <xdr:cNvPr id="560891" name="Curved Connector 117">
          <a:extLst>
            <a:ext uri="{FF2B5EF4-FFF2-40B4-BE49-F238E27FC236}">
              <a16:creationId xmlns:a16="http://schemas.microsoft.com/office/drawing/2014/main" id="{2FB8FB57-8643-4636-8CB9-86D08CBDAE3F}"/>
            </a:ext>
          </a:extLst>
        </xdr:cNvPr>
        <xdr:cNvCxnSpPr>
          <a:cxnSpLocks noChangeShapeType="1"/>
        </xdr:cNvCxnSpPr>
      </xdr:nvCxnSpPr>
      <xdr:spPr bwMode="auto">
        <a:xfrm rot="12960000" flipH="1">
          <a:off x="6848475" y="14620875"/>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266700</xdr:colOff>
      <xdr:row>84</xdr:row>
      <xdr:rowOff>19050</xdr:rowOff>
    </xdr:from>
    <xdr:to>
      <xdr:col>9</xdr:col>
      <xdr:colOff>304800</xdr:colOff>
      <xdr:row>84</xdr:row>
      <xdr:rowOff>161925</xdr:rowOff>
    </xdr:to>
    <xdr:cxnSp macro="">
      <xdr:nvCxnSpPr>
        <xdr:cNvPr id="560892" name="Straight Connector 118">
          <a:extLst>
            <a:ext uri="{FF2B5EF4-FFF2-40B4-BE49-F238E27FC236}">
              <a16:creationId xmlns:a16="http://schemas.microsoft.com/office/drawing/2014/main" id="{14AEB320-C9DE-4304-BED0-2AB113A13891}"/>
            </a:ext>
          </a:extLst>
        </xdr:cNvPr>
        <xdr:cNvCxnSpPr>
          <a:cxnSpLocks noChangeShapeType="1"/>
        </xdr:cNvCxnSpPr>
      </xdr:nvCxnSpPr>
      <xdr:spPr bwMode="auto">
        <a:xfrm rot="5400000">
          <a:off x="6862762" y="14397038"/>
          <a:ext cx="142875" cy="381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285750</xdr:colOff>
      <xdr:row>85</xdr:row>
      <xdr:rowOff>114300</xdr:rowOff>
    </xdr:from>
    <xdr:to>
      <xdr:col>9</xdr:col>
      <xdr:colOff>323850</xdr:colOff>
      <xdr:row>86</xdr:row>
      <xdr:rowOff>85725</xdr:rowOff>
    </xdr:to>
    <xdr:cxnSp macro="">
      <xdr:nvCxnSpPr>
        <xdr:cNvPr id="560893" name="Straight Connector 119">
          <a:extLst>
            <a:ext uri="{FF2B5EF4-FFF2-40B4-BE49-F238E27FC236}">
              <a16:creationId xmlns:a16="http://schemas.microsoft.com/office/drawing/2014/main" id="{1D1EEB61-DEFB-4C89-BA46-5685796E6D0F}"/>
            </a:ext>
          </a:extLst>
        </xdr:cNvPr>
        <xdr:cNvCxnSpPr>
          <a:cxnSpLocks noChangeShapeType="1"/>
        </xdr:cNvCxnSpPr>
      </xdr:nvCxnSpPr>
      <xdr:spPr bwMode="auto">
        <a:xfrm rot="5400000">
          <a:off x="6881812" y="14663738"/>
          <a:ext cx="142875" cy="381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304801</xdr:colOff>
      <xdr:row>31</xdr:row>
      <xdr:rowOff>152400</xdr:rowOff>
    </xdr:from>
    <xdr:to>
      <xdr:col>9</xdr:col>
      <xdr:colOff>314326</xdr:colOff>
      <xdr:row>32</xdr:row>
      <xdr:rowOff>152400</xdr:rowOff>
    </xdr:to>
    <xdr:cxnSp macro="">
      <xdr:nvCxnSpPr>
        <xdr:cNvPr id="124" name="Straight Arrow Connector 123">
          <a:extLst>
            <a:ext uri="{FF2B5EF4-FFF2-40B4-BE49-F238E27FC236}">
              <a16:creationId xmlns:a16="http://schemas.microsoft.com/office/drawing/2014/main" id="{336AF19B-611E-4CC6-8046-F3D1DFF9A6A3}"/>
            </a:ext>
          </a:extLst>
        </xdr:cNvPr>
        <xdr:cNvCxnSpPr/>
      </xdr:nvCxnSpPr>
      <xdr:spPr bwMode="auto">
        <a:xfrm rot="16380000" flipV="1">
          <a:off x="5105401" y="5467350"/>
          <a:ext cx="161925" cy="9525"/>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xdr:col>
      <xdr:colOff>409578</xdr:colOff>
      <xdr:row>31</xdr:row>
      <xdr:rowOff>152402</xdr:rowOff>
    </xdr:from>
    <xdr:to>
      <xdr:col>12</xdr:col>
      <xdr:colOff>419099</xdr:colOff>
      <xdr:row>36</xdr:row>
      <xdr:rowOff>47626</xdr:rowOff>
    </xdr:to>
    <xdr:cxnSp macro="">
      <xdr:nvCxnSpPr>
        <xdr:cNvPr id="131" name="Straight Arrow Connector 130">
          <a:extLst>
            <a:ext uri="{FF2B5EF4-FFF2-40B4-BE49-F238E27FC236}">
              <a16:creationId xmlns:a16="http://schemas.microsoft.com/office/drawing/2014/main" id="{335E2D30-3268-4CF7-8AC3-7E65F9A398D3}"/>
            </a:ext>
          </a:extLst>
        </xdr:cNvPr>
        <xdr:cNvCxnSpPr/>
      </xdr:nvCxnSpPr>
      <xdr:spPr bwMode="auto">
        <a:xfrm rot="5340000" flipH="1" flipV="1">
          <a:off x="6757989" y="5748341"/>
          <a:ext cx="723899" cy="9521"/>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xdr:col>
      <xdr:colOff>719140</xdr:colOff>
      <xdr:row>85</xdr:row>
      <xdr:rowOff>76200</xdr:rowOff>
    </xdr:from>
    <xdr:to>
      <xdr:col>13</xdr:col>
      <xdr:colOff>562378</xdr:colOff>
      <xdr:row>85</xdr:row>
      <xdr:rowOff>76201</xdr:rowOff>
    </xdr:to>
    <xdr:cxnSp macro="">
      <xdr:nvCxnSpPr>
        <xdr:cNvPr id="85" name="Straight Arrow Connector 84">
          <a:extLst>
            <a:ext uri="{FF2B5EF4-FFF2-40B4-BE49-F238E27FC236}">
              <a16:creationId xmlns:a16="http://schemas.microsoft.com/office/drawing/2014/main" id="{778FA628-CA79-4065-906C-D6889E0D8615}"/>
            </a:ext>
          </a:extLst>
        </xdr:cNvPr>
        <xdr:cNvCxnSpPr>
          <a:stCxn id="113" idx="0"/>
        </xdr:cNvCxnSpPr>
      </xdr:nvCxnSpPr>
      <xdr:spPr bwMode="auto">
        <a:xfrm flipV="1">
          <a:off x="7424740" y="14239875"/>
          <a:ext cx="614360" cy="1"/>
        </a:xfrm>
        <a:prstGeom prst="straightConnector1">
          <a:avLst/>
        </a:prstGeom>
        <a:ln w="19050">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719140</xdr:colOff>
      <xdr:row>30</xdr:row>
      <xdr:rowOff>76200</xdr:rowOff>
    </xdr:from>
    <xdr:to>
      <xdr:col>13</xdr:col>
      <xdr:colOff>524308</xdr:colOff>
      <xdr:row>30</xdr:row>
      <xdr:rowOff>77788</xdr:rowOff>
    </xdr:to>
    <xdr:cxnSp macro="">
      <xdr:nvCxnSpPr>
        <xdr:cNvPr id="88" name="Straight Arrow Connector 87">
          <a:extLst>
            <a:ext uri="{FF2B5EF4-FFF2-40B4-BE49-F238E27FC236}">
              <a16:creationId xmlns:a16="http://schemas.microsoft.com/office/drawing/2014/main" id="{AF4A50EB-9F86-4A76-9DE8-8EE98B39D069}"/>
            </a:ext>
          </a:extLst>
        </xdr:cNvPr>
        <xdr:cNvCxnSpPr>
          <a:endCxn id="59" idx="3"/>
        </xdr:cNvCxnSpPr>
      </xdr:nvCxnSpPr>
      <xdr:spPr bwMode="auto">
        <a:xfrm rot="10800000">
          <a:off x="7424740" y="5143500"/>
          <a:ext cx="576260" cy="1588"/>
        </a:xfrm>
        <a:prstGeom prst="straightConnector1">
          <a:avLst/>
        </a:prstGeom>
        <a:ln w="19050">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533400</xdr:colOff>
      <xdr:row>30</xdr:row>
      <xdr:rowOff>28575</xdr:rowOff>
    </xdr:from>
    <xdr:to>
      <xdr:col>14</xdr:col>
      <xdr:colOff>0</xdr:colOff>
      <xdr:row>30</xdr:row>
      <xdr:rowOff>114300</xdr:rowOff>
    </xdr:to>
    <xdr:sp macro="" textlink="">
      <xdr:nvSpPr>
        <xdr:cNvPr id="92" name="Oval 91">
          <a:extLst>
            <a:ext uri="{FF2B5EF4-FFF2-40B4-BE49-F238E27FC236}">
              <a16:creationId xmlns:a16="http://schemas.microsoft.com/office/drawing/2014/main" id="{A8BC2257-9F20-4826-BEE5-4776E9A62A80}"/>
            </a:ext>
          </a:extLst>
        </xdr:cNvPr>
        <xdr:cNvSpPr/>
      </xdr:nvSpPr>
      <xdr:spPr bwMode="auto">
        <a:xfrm>
          <a:off x="8010525" y="5095875"/>
          <a:ext cx="76200" cy="85725"/>
        </a:xfrm>
        <a:prstGeom prst="ellipse">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endParaRPr lang="en-AU"/>
        </a:p>
      </xdr:txBody>
    </xdr:sp>
    <xdr:clientData/>
  </xdr:twoCellAnchor>
  <xdr:twoCellAnchor>
    <xdr:from>
      <xdr:col>9</xdr:col>
      <xdr:colOff>342900</xdr:colOff>
      <xdr:row>62</xdr:row>
      <xdr:rowOff>142875</xdr:rowOff>
    </xdr:from>
    <xdr:to>
      <xdr:col>9</xdr:col>
      <xdr:colOff>647700</xdr:colOff>
      <xdr:row>64</xdr:row>
      <xdr:rowOff>152400</xdr:rowOff>
    </xdr:to>
    <xdr:cxnSp macro="">
      <xdr:nvCxnSpPr>
        <xdr:cNvPr id="560899" name="Straight Connector 11">
          <a:extLst>
            <a:ext uri="{FF2B5EF4-FFF2-40B4-BE49-F238E27FC236}">
              <a16:creationId xmlns:a16="http://schemas.microsoft.com/office/drawing/2014/main" id="{20C645FF-02B7-4146-AE51-DAAF2B0FA349}"/>
            </a:ext>
          </a:extLst>
        </xdr:cNvPr>
        <xdr:cNvCxnSpPr>
          <a:cxnSpLocks noChangeShapeType="1"/>
        </xdr:cNvCxnSpPr>
      </xdr:nvCxnSpPr>
      <xdr:spPr bwMode="auto">
        <a:xfrm rot="16200000" flipH="1">
          <a:off x="6977062" y="10720388"/>
          <a:ext cx="33337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352425</xdr:colOff>
      <xdr:row>8</xdr:row>
      <xdr:rowOff>0</xdr:rowOff>
    </xdr:from>
    <xdr:to>
      <xdr:col>9</xdr:col>
      <xdr:colOff>657225</xdr:colOff>
      <xdr:row>10</xdr:row>
      <xdr:rowOff>9525</xdr:rowOff>
    </xdr:to>
    <xdr:cxnSp macro="">
      <xdr:nvCxnSpPr>
        <xdr:cNvPr id="560900" name="Straight Connector 11">
          <a:extLst>
            <a:ext uri="{FF2B5EF4-FFF2-40B4-BE49-F238E27FC236}">
              <a16:creationId xmlns:a16="http://schemas.microsoft.com/office/drawing/2014/main" id="{56D649A4-91A6-4DA6-A68C-E96C74135505}"/>
            </a:ext>
          </a:extLst>
        </xdr:cNvPr>
        <xdr:cNvCxnSpPr>
          <a:cxnSpLocks noChangeShapeType="1"/>
        </xdr:cNvCxnSpPr>
      </xdr:nvCxnSpPr>
      <xdr:spPr bwMode="auto">
        <a:xfrm rot="16200000" flipH="1">
          <a:off x="6986587" y="1452563"/>
          <a:ext cx="33337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447675</xdr:colOff>
      <xdr:row>14</xdr:row>
      <xdr:rowOff>19050</xdr:rowOff>
    </xdr:from>
    <xdr:to>
      <xdr:col>8</xdr:col>
      <xdr:colOff>142875</xdr:colOff>
      <xdr:row>16</xdr:row>
      <xdr:rowOff>28575</xdr:rowOff>
    </xdr:to>
    <xdr:cxnSp macro="">
      <xdr:nvCxnSpPr>
        <xdr:cNvPr id="560901" name="Straight Connector 4">
          <a:extLst>
            <a:ext uri="{FF2B5EF4-FFF2-40B4-BE49-F238E27FC236}">
              <a16:creationId xmlns:a16="http://schemas.microsoft.com/office/drawing/2014/main" id="{24A1E428-B2F0-4145-A8AC-1CAD9F900B48}"/>
            </a:ext>
          </a:extLst>
        </xdr:cNvPr>
        <xdr:cNvCxnSpPr>
          <a:cxnSpLocks noChangeShapeType="1"/>
        </xdr:cNvCxnSpPr>
      </xdr:nvCxnSpPr>
      <xdr:spPr bwMode="auto">
        <a:xfrm rot="16200000" flipH="1">
          <a:off x="5853112" y="2500313"/>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171450</xdr:colOff>
      <xdr:row>69</xdr:row>
      <xdr:rowOff>152400</xdr:rowOff>
    </xdr:from>
    <xdr:to>
      <xdr:col>10</xdr:col>
      <xdr:colOff>104775</xdr:colOff>
      <xdr:row>74</xdr:row>
      <xdr:rowOff>95250</xdr:rowOff>
    </xdr:to>
    <xdr:sp macro="" textlink="">
      <xdr:nvSpPr>
        <xdr:cNvPr id="560902" name="Line 15255">
          <a:extLst>
            <a:ext uri="{FF2B5EF4-FFF2-40B4-BE49-F238E27FC236}">
              <a16:creationId xmlns:a16="http://schemas.microsoft.com/office/drawing/2014/main" id="{4CACB6E6-E5E7-443C-90D1-0A5D193A9CBF}"/>
            </a:ext>
          </a:extLst>
        </xdr:cNvPr>
        <xdr:cNvSpPr>
          <a:spLocks noChangeShapeType="1"/>
        </xdr:cNvSpPr>
      </xdr:nvSpPr>
      <xdr:spPr bwMode="auto">
        <a:xfrm flipV="1">
          <a:off x="6210300" y="11887200"/>
          <a:ext cx="1247775" cy="8001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9525</xdr:colOff>
      <xdr:row>74</xdr:row>
      <xdr:rowOff>95250</xdr:rowOff>
    </xdr:from>
    <xdr:to>
      <xdr:col>8</xdr:col>
      <xdr:colOff>171450</xdr:colOff>
      <xdr:row>74</xdr:row>
      <xdr:rowOff>104775</xdr:rowOff>
    </xdr:to>
    <xdr:sp macro="" textlink="">
      <xdr:nvSpPr>
        <xdr:cNvPr id="560903" name="Line 15256">
          <a:extLst>
            <a:ext uri="{FF2B5EF4-FFF2-40B4-BE49-F238E27FC236}">
              <a16:creationId xmlns:a16="http://schemas.microsoft.com/office/drawing/2014/main" id="{C6545074-4D7C-4894-AF52-8E15FE342707}"/>
            </a:ext>
          </a:extLst>
        </xdr:cNvPr>
        <xdr:cNvSpPr>
          <a:spLocks noChangeShapeType="1"/>
        </xdr:cNvSpPr>
      </xdr:nvSpPr>
      <xdr:spPr bwMode="auto">
        <a:xfrm flipH="1">
          <a:off x="6048375" y="12687300"/>
          <a:ext cx="161925"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304800</xdr:colOff>
      <xdr:row>17</xdr:row>
      <xdr:rowOff>19050</xdr:rowOff>
    </xdr:from>
    <xdr:to>
      <xdr:col>2</xdr:col>
      <xdr:colOff>409575</xdr:colOff>
      <xdr:row>18</xdr:row>
      <xdr:rowOff>152400</xdr:rowOff>
    </xdr:to>
    <xdr:sp macro="" textlink="">
      <xdr:nvSpPr>
        <xdr:cNvPr id="560904" name="Line 15257">
          <a:extLst>
            <a:ext uri="{FF2B5EF4-FFF2-40B4-BE49-F238E27FC236}">
              <a16:creationId xmlns:a16="http://schemas.microsoft.com/office/drawing/2014/main" id="{CDE3CEE5-4C01-4450-A1A1-A541FDA3E771}"/>
            </a:ext>
          </a:extLst>
        </xdr:cNvPr>
        <xdr:cNvSpPr>
          <a:spLocks noChangeShapeType="1"/>
        </xdr:cNvSpPr>
      </xdr:nvSpPr>
      <xdr:spPr bwMode="auto">
        <a:xfrm flipH="1" flipV="1">
          <a:off x="1962150" y="2990850"/>
          <a:ext cx="104775" cy="30480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409575</xdr:colOff>
      <xdr:row>18</xdr:row>
      <xdr:rowOff>152400</xdr:rowOff>
    </xdr:from>
    <xdr:to>
      <xdr:col>2</xdr:col>
      <xdr:colOff>476250</xdr:colOff>
      <xdr:row>18</xdr:row>
      <xdr:rowOff>152400</xdr:rowOff>
    </xdr:to>
    <xdr:sp macro="" textlink="">
      <xdr:nvSpPr>
        <xdr:cNvPr id="560905" name="Line 15258">
          <a:extLst>
            <a:ext uri="{FF2B5EF4-FFF2-40B4-BE49-F238E27FC236}">
              <a16:creationId xmlns:a16="http://schemas.microsoft.com/office/drawing/2014/main" id="{231FE2A6-C649-418D-93C0-53FD7F44E158}"/>
            </a:ext>
          </a:extLst>
        </xdr:cNvPr>
        <xdr:cNvSpPr>
          <a:spLocks noChangeShapeType="1"/>
        </xdr:cNvSpPr>
      </xdr:nvSpPr>
      <xdr:spPr bwMode="auto">
        <a:xfrm>
          <a:off x="2066925" y="3295650"/>
          <a:ext cx="66675"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390525</xdr:colOff>
      <xdr:row>10</xdr:row>
      <xdr:rowOff>152400</xdr:rowOff>
    </xdr:from>
    <xdr:to>
      <xdr:col>7</xdr:col>
      <xdr:colOff>238125</xdr:colOff>
      <xdr:row>21</xdr:row>
      <xdr:rowOff>152400</xdr:rowOff>
    </xdr:to>
    <xdr:sp macro="" textlink="">
      <xdr:nvSpPr>
        <xdr:cNvPr id="560906" name="Rectangle 15259">
          <a:extLst>
            <a:ext uri="{FF2B5EF4-FFF2-40B4-BE49-F238E27FC236}">
              <a16:creationId xmlns:a16="http://schemas.microsoft.com/office/drawing/2014/main" id="{4DDB5002-2423-4E35-9058-F36EA7B0746B}"/>
            </a:ext>
          </a:extLst>
        </xdr:cNvPr>
        <xdr:cNvSpPr>
          <a:spLocks noChangeArrowheads="1"/>
        </xdr:cNvSpPr>
      </xdr:nvSpPr>
      <xdr:spPr bwMode="auto">
        <a:xfrm>
          <a:off x="390525" y="1914525"/>
          <a:ext cx="5276850" cy="19431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381000</xdr:colOff>
      <xdr:row>14</xdr:row>
      <xdr:rowOff>85725</xdr:rowOff>
    </xdr:from>
    <xdr:to>
      <xdr:col>5</xdr:col>
      <xdr:colOff>266700</xdr:colOff>
      <xdr:row>14</xdr:row>
      <xdr:rowOff>85725</xdr:rowOff>
    </xdr:to>
    <xdr:sp macro="" textlink="">
      <xdr:nvSpPr>
        <xdr:cNvPr id="560907" name="Line 15260">
          <a:extLst>
            <a:ext uri="{FF2B5EF4-FFF2-40B4-BE49-F238E27FC236}">
              <a16:creationId xmlns:a16="http://schemas.microsoft.com/office/drawing/2014/main" id="{CF4358F6-8677-4132-8890-24ECA119D993}"/>
            </a:ext>
          </a:extLst>
        </xdr:cNvPr>
        <xdr:cNvSpPr>
          <a:spLocks noChangeShapeType="1"/>
        </xdr:cNvSpPr>
      </xdr:nvSpPr>
      <xdr:spPr bwMode="auto">
        <a:xfrm>
          <a:off x="2647950" y="2543175"/>
          <a:ext cx="12477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219075</xdr:colOff>
      <xdr:row>13</xdr:row>
      <xdr:rowOff>133350</xdr:rowOff>
    </xdr:from>
    <xdr:to>
      <xdr:col>10</xdr:col>
      <xdr:colOff>152400</xdr:colOff>
      <xdr:row>18</xdr:row>
      <xdr:rowOff>76200</xdr:rowOff>
    </xdr:to>
    <xdr:sp macro="" textlink="">
      <xdr:nvSpPr>
        <xdr:cNvPr id="560908" name="Line 15261">
          <a:extLst>
            <a:ext uri="{FF2B5EF4-FFF2-40B4-BE49-F238E27FC236}">
              <a16:creationId xmlns:a16="http://schemas.microsoft.com/office/drawing/2014/main" id="{C36A19C6-10E0-4AEF-BA6F-F34CB83201E9}"/>
            </a:ext>
          </a:extLst>
        </xdr:cNvPr>
        <xdr:cNvSpPr>
          <a:spLocks noChangeShapeType="1"/>
        </xdr:cNvSpPr>
      </xdr:nvSpPr>
      <xdr:spPr bwMode="auto">
        <a:xfrm flipV="1">
          <a:off x="6257925" y="2419350"/>
          <a:ext cx="1247775" cy="8001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66675</xdr:colOff>
      <xdr:row>18</xdr:row>
      <xdr:rowOff>76200</xdr:rowOff>
    </xdr:from>
    <xdr:to>
      <xdr:col>8</xdr:col>
      <xdr:colOff>209550</xdr:colOff>
      <xdr:row>18</xdr:row>
      <xdr:rowOff>76200</xdr:rowOff>
    </xdr:to>
    <xdr:sp macro="" textlink="">
      <xdr:nvSpPr>
        <xdr:cNvPr id="560909" name="Line 15262">
          <a:extLst>
            <a:ext uri="{FF2B5EF4-FFF2-40B4-BE49-F238E27FC236}">
              <a16:creationId xmlns:a16="http://schemas.microsoft.com/office/drawing/2014/main" id="{FDFC3E9D-9CBB-4F46-80BB-A7D0A317A3D0}"/>
            </a:ext>
          </a:extLst>
        </xdr:cNvPr>
        <xdr:cNvSpPr>
          <a:spLocks noChangeShapeType="1"/>
        </xdr:cNvSpPr>
      </xdr:nvSpPr>
      <xdr:spPr bwMode="auto">
        <a:xfrm>
          <a:off x="6105525" y="3219450"/>
          <a:ext cx="1428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276225</xdr:colOff>
      <xdr:row>65</xdr:row>
      <xdr:rowOff>114300</xdr:rowOff>
    </xdr:from>
    <xdr:to>
      <xdr:col>7</xdr:col>
      <xdr:colOff>304800</xdr:colOff>
      <xdr:row>76</xdr:row>
      <xdr:rowOff>95250</xdr:rowOff>
    </xdr:to>
    <xdr:sp macro="" textlink="">
      <xdr:nvSpPr>
        <xdr:cNvPr id="560910" name="Rectangle 15263">
          <a:extLst>
            <a:ext uri="{FF2B5EF4-FFF2-40B4-BE49-F238E27FC236}">
              <a16:creationId xmlns:a16="http://schemas.microsoft.com/office/drawing/2014/main" id="{B9356901-8825-4C14-A1D2-B4AA7628D864}"/>
            </a:ext>
          </a:extLst>
        </xdr:cNvPr>
        <xdr:cNvSpPr>
          <a:spLocks noChangeArrowheads="1"/>
        </xdr:cNvSpPr>
      </xdr:nvSpPr>
      <xdr:spPr bwMode="auto">
        <a:xfrm>
          <a:off x="276225" y="11172825"/>
          <a:ext cx="5457825" cy="191452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xdr:col>
      <xdr:colOff>314325</xdr:colOff>
      <xdr:row>73</xdr:row>
      <xdr:rowOff>19050</xdr:rowOff>
    </xdr:from>
    <xdr:to>
      <xdr:col>2</xdr:col>
      <xdr:colOff>390525</xdr:colOff>
      <xdr:row>74</xdr:row>
      <xdr:rowOff>123825</xdr:rowOff>
    </xdr:to>
    <xdr:sp macro="" textlink="">
      <xdr:nvSpPr>
        <xdr:cNvPr id="560911" name="Line 15264">
          <a:extLst>
            <a:ext uri="{FF2B5EF4-FFF2-40B4-BE49-F238E27FC236}">
              <a16:creationId xmlns:a16="http://schemas.microsoft.com/office/drawing/2014/main" id="{62D50C61-390E-44A0-B610-5D131C709BEF}"/>
            </a:ext>
          </a:extLst>
        </xdr:cNvPr>
        <xdr:cNvSpPr>
          <a:spLocks noChangeShapeType="1"/>
        </xdr:cNvSpPr>
      </xdr:nvSpPr>
      <xdr:spPr bwMode="auto">
        <a:xfrm flipH="1" flipV="1">
          <a:off x="1971675" y="12439650"/>
          <a:ext cx="76200" cy="276225"/>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381000</xdr:colOff>
      <xdr:row>74</xdr:row>
      <xdr:rowOff>133350</xdr:rowOff>
    </xdr:from>
    <xdr:to>
      <xdr:col>2</xdr:col>
      <xdr:colOff>485775</xdr:colOff>
      <xdr:row>74</xdr:row>
      <xdr:rowOff>133350</xdr:rowOff>
    </xdr:to>
    <xdr:sp macro="" textlink="">
      <xdr:nvSpPr>
        <xdr:cNvPr id="560912" name="Line 15265">
          <a:extLst>
            <a:ext uri="{FF2B5EF4-FFF2-40B4-BE49-F238E27FC236}">
              <a16:creationId xmlns:a16="http://schemas.microsoft.com/office/drawing/2014/main" id="{0043033B-5A05-4ABE-8CDE-5FC29B9A416C}"/>
            </a:ext>
          </a:extLst>
        </xdr:cNvPr>
        <xdr:cNvSpPr>
          <a:spLocks noChangeShapeType="1"/>
        </xdr:cNvSpPr>
      </xdr:nvSpPr>
      <xdr:spPr bwMode="auto">
        <a:xfrm>
          <a:off x="2038350" y="12725400"/>
          <a:ext cx="104775"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819150</xdr:colOff>
      <xdr:row>74</xdr:row>
      <xdr:rowOff>133350</xdr:rowOff>
    </xdr:from>
    <xdr:to>
      <xdr:col>5</xdr:col>
      <xdr:colOff>1123950</xdr:colOff>
      <xdr:row>74</xdr:row>
      <xdr:rowOff>133350</xdr:rowOff>
    </xdr:to>
    <xdr:sp macro="" textlink="">
      <xdr:nvSpPr>
        <xdr:cNvPr id="560913" name="Line 15266">
          <a:extLst>
            <a:ext uri="{FF2B5EF4-FFF2-40B4-BE49-F238E27FC236}">
              <a16:creationId xmlns:a16="http://schemas.microsoft.com/office/drawing/2014/main" id="{CD97B080-67F6-41CB-B7DA-1549E64A8740}"/>
            </a:ext>
          </a:extLst>
        </xdr:cNvPr>
        <xdr:cNvSpPr>
          <a:spLocks noChangeShapeType="1"/>
        </xdr:cNvSpPr>
      </xdr:nvSpPr>
      <xdr:spPr bwMode="auto">
        <a:xfrm>
          <a:off x="4448175" y="12725400"/>
          <a:ext cx="304800"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809625</xdr:colOff>
      <xdr:row>18</xdr:row>
      <xdr:rowOff>142875</xdr:rowOff>
    </xdr:from>
    <xdr:to>
      <xdr:col>5</xdr:col>
      <xdr:colOff>1104900</xdr:colOff>
      <xdr:row>18</xdr:row>
      <xdr:rowOff>142875</xdr:rowOff>
    </xdr:to>
    <xdr:sp macro="" textlink="">
      <xdr:nvSpPr>
        <xdr:cNvPr id="560914" name="Line 15267">
          <a:extLst>
            <a:ext uri="{FF2B5EF4-FFF2-40B4-BE49-F238E27FC236}">
              <a16:creationId xmlns:a16="http://schemas.microsoft.com/office/drawing/2014/main" id="{C4238385-4EF6-4B1C-B458-162FCBA87E96}"/>
            </a:ext>
          </a:extLst>
        </xdr:cNvPr>
        <xdr:cNvSpPr>
          <a:spLocks noChangeShapeType="1"/>
        </xdr:cNvSpPr>
      </xdr:nvSpPr>
      <xdr:spPr bwMode="auto">
        <a:xfrm>
          <a:off x="4438650" y="3286125"/>
          <a:ext cx="29527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542925</xdr:colOff>
      <xdr:row>16</xdr:row>
      <xdr:rowOff>9525</xdr:rowOff>
    </xdr:from>
    <xdr:to>
      <xdr:col>3</xdr:col>
      <xdr:colOff>695325</xdr:colOff>
      <xdr:row>20</xdr:row>
      <xdr:rowOff>152400</xdr:rowOff>
    </xdr:to>
    <xdr:sp macro="" textlink="">
      <xdr:nvSpPr>
        <xdr:cNvPr id="4243" name="AutoShape 14">
          <a:extLst>
            <a:ext uri="{FF2B5EF4-FFF2-40B4-BE49-F238E27FC236}">
              <a16:creationId xmlns:a16="http://schemas.microsoft.com/office/drawing/2014/main" id="{5513B4CD-7FE2-4A9A-8F00-DCB61FF59D80}"/>
            </a:ext>
          </a:extLst>
        </xdr:cNvPr>
        <xdr:cNvSpPr>
          <a:spLocks/>
        </xdr:cNvSpPr>
      </xdr:nvSpPr>
      <xdr:spPr bwMode="auto">
        <a:xfrm>
          <a:off x="5381625" y="2867025"/>
          <a:ext cx="152400" cy="790575"/>
        </a:xfrm>
        <a:prstGeom prst="rightBrace">
          <a:avLst>
            <a:gd name="adj1" fmla="val 43229"/>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600075</xdr:colOff>
      <xdr:row>18</xdr:row>
      <xdr:rowOff>0</xdr:rowOff>
    </xdr:from>
    <xdr:to>
      <xdr:col>4</xdr:col>
      <xdr:colOff>142875</xdr:colOff>
      <xdr:row>22</xdr:row>
      <xdr:rowOff>142875</xdr:rowOff>
    </xdr:to>
    <xdr:sp macro="" textlink="">
      <xdr:nvSpPr>
        <xdr:cNvPr id="21650" name="AutoShape 6">
          <a:extLst>
            <a:ext uri="{FF2B5EF4-FFF2-40B4-BE49-F238E27FC236}">
              <a16:creationId xmlns:a16="http://schemas.microsoft.com/office/drawing/2014/main" id="{C31FCECC-C020-44D8-ADC9-11295EF5E005}"/>
            </a:ext>
          </a:extLst>
        </xdr:cNvPr>
        <xdr:cNvSpPr>
          <a:spLocks/>
        </xdr:cNvSpPr>
      </xdr:nvSpPr>
      <xdr:spPr bwMode="auto">
        <a:xfrm>
          <a:off x="5467350" y="3048000"/>
          <a:ext cx="152400" cy="790575"/>
        </a:xfrm>
        <a:prstGeom prst="rightBrace">
          <a:avLst>
            <a:gd name="adj1" fmla="val 43229"/>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19</xdr:col>
      <xdr:colOff>0</xdr:colOff>
      <xdr:row>2</xdr:row>
      <xdr:rowOff>0</xdr:rowOff>
    </xdr:from>
    <xdr:to>
      <xdr:col>29</xdr:col>
      <xdr:colOff>323850</xdr:colOff>
      <xdr:row>37</xdr:row>
      <xdr:rowOff>47625</xdr:rowOff>
    </xdr:to>
    <xdr:sp macro="" textlink="">
      <xdr:nvSpPr>
        <xdr:cNvPr id="2" name="Rectangle 19">
          <a:extLst>
            <a:ext uri="{FF2B5EF4-FFF2-40B4-BE49-F238E27FC236}">
              <a16:creationId xmlns:a16="http://schemas.microsoft.com/office/drawing/2014/main" id="{A5CC4FDC-116E-4663-A3C5-4A769C806714}"/>
            </a:ext>
          </a:extLst>
        </xdr:cNvPr>
        <xdr:cNvSpPr>
          <a:spLocks noChangeArrowheads="1"/>
        </xdr:cNvSpPr>
      </xdr:nvSpPr>
      <xdr:spPr bwMode="auto">
        <a:xfrm>
          <a:off x="12763500" y="523875"/>
          <a:ext cx="6419850" cy="6915150"/>
        </a:xfrm>
        <a:prstGeom prst="rect">
          <a:avLst/>
        </a:prstGeom>
        <a:solidFill>
          <a:srgbClr val="FFFFFF"/>
        </a:solidFill>
        <a:ln w="9525">
          <a:solidFill>
            <a:srgbClr val="000000"/>
          </a:solidFill>
          <a:miter lim="800000"/>
          <a:headEnd/>
          <a:tailEnd/>
        </a:ln>
      </xdr:spPr>
    </xdr:sp>
    <xdr:clientData/>
  </xdr:twoCellAnchor>
  <xdr:twoCellAnchor editAs="oneCell">
    <xdr:from>
      <xdr:col>19</xdr:col>
      <xdr:colOff>57150</xdr:colOff>
      <xdr:row>2</xdr:row>
      <xdr:rowOff>38100</xdr:rowOff>
    </xdr:from>
    <xdr:to>
      <xdr:col>29</xdr:col>
      <xdr:colOff>266700</xdr:colOff>
      <xdr:row>37</xdr:row>
      <xdr:rowOff>9525</xdr:rowOff>
    </xdr:to>
    <xdr:pic>
      <xdr:nvPicPr>
        <xdr:cNvPr id="3" name="Picture 1">
          <a:extLst>
            <a:ext uri="{FF2B5EF4-FFF2-40B4-BE49-F238E27FC236}">
              <a16:creationId xmlns:a16="http://schemas.microsoft.com/office/drawing/2014/main" id="{0A6DA605-E921-408C-B117-4F1EF19D50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820650" y="561975"/>
          <a:ext cx="6305550" cy="6838950"/>
        </a:xfrm>
        <a:prstGeom prst="rect">
          <a:avLst/>
        </a:prstGeom>
        <a:noFill/>
        <a:ln w="1">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504825</xdr:colOff>
      <xdr:row>32</xdr:row>
      <xdr:rowOff>133350</xdr:rowOff>
    </xdr:from>
    <xdr:to>
      <xdr:col>30</xdr:col>
      <xdr:colOff>0</xdr:colOff>
      <xdr:row>80</xdr:row>
      <xdr:rowOff>123825</xdr:rowOff>
    </xdr:to>
    <xdr:sp macro="" textlink="">
      <xdr:nvSpPr>
        <xdr:cNvPr id="2" name="TextBox 1">
          <a:extLst>
            <a:ext uri="{FF2B5EF4-FFF2-40B4-BE49-F238E27FC236}">
              <a16:creationId xmlns:a16="http://schemas.microsoft.com/office/drawing/2014/main" id="{F8BF868A-EAD0-4FF2-B252-B01B6C061BC4}"/>
            </a:ext>
          </a:extLst>
        </xdr:cNvPr>
        <xdr:cNvSpPr txBox="1"/>
      </xdr:nvSpPr>
      <xdr:spPr>
        <a:xfrm>
          <a:off x="11525250" y="6724650"/>
          <a:ext cx="6810375" cy="782002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AU" sz="1100"/>
        </a:p>
      </xdr:txBody>
    </xdr:sp>
    <xdr:clientData/>
  </xdr:twoCellAnchor>
  <xdr:twoCellAnchor>
    <xdr:from>
      <xdr:col>19</xdr:col>
      <xdr:colOff>0</xdr:colOff>
      <xdr:row>2</xdr:row>
      <xdr:rowOff>0</xdr:rowOff>
    </xdr:from>
    <xdr:to>
      <xdr:col>29</xdr:col>
      <xdr:colOff>323850</xdr:colOff>
      <xdr:row>31</xdr:row>
      <xdr:rowOff>0</xdr:rowOff>
    </xdr:to>
    <xdr:sp macro="" textlink="">
      <xdr:nvSpPr>
        <xdr:cNvPr id="366906" name="Rectangle 19">
          <a:extLst>
            <a:ext uri="{FF2B5EF4-FFF2-40B4-BE49-F238E27FC236}">
              <a16:creationId xmlns:a16="http://schemas.microsoft.com/office/drawing/2014/main" id="{CAC99421-477E-4D76-956F-940C67A98BA4}"/>
            </a:ext>
          </a:extLst>
        </xdr:cNvPr>
        <xdr:cNvSpPr>
          <a:spLocks noChangeArrowheads="1"/>
        </xdr:cNvSpPr>
      </xdr:nvSpPr>
      <xdr:spPr bwMode="auto">
        <a:xfrm>
          <a:off x="11630025" y="581025"/>
          <a:ext cx="6419850" cy="5829300"/>
        </a:xfrm>
        <a:prstGeom prst="rect">
          <a:avLst/>
        </a:prstGeom>
        <a:solidFill>
          <a:srgbClr val="FFFFFF"/>
        </a:solidFill>
        <a:ln w="9525">
          <a:solidFill>
            <a:srgbClr val="000000"/>
          </a:solidFill>
          <a:miter lim="800000"/>
          <a:headEnd/>
          <a:tailEnd/>
        </a:ln>
      </xdr:spPr>
    </xdr:sp>
    <xdr:clientData/>
  </xdr:twoCellAnchor>
  <xdr:twoCellAnchor editAs="oneCell">
    <xdr:from>
      <xdr:col>19</xdr:col>
      <xdr:colOff>32134</xdr:colOff>
      <xdr:row>2</xdr:row>
      <xdr:rowOff>19050</xdr:rowOff>
    </xdr:from>
    <xdr:to>
      <xdr:col>29</xdr:col>
      <xdr:colOff>295276</xdr:colOff>
      <xdr:row>29</xdr:row>
      <xdr:rowOff>114300</xdr:rowOff>
    </xdr:to>
    <xdr:pic>
      <xdr:nvPicPr>
        <xdr:cNvPr id="366907" name="Picture 1">
          <a:extLst>
            <a:ext uri="{FF2B5EF4-FFF2-40B4-BE49-F238E27FC236}">
              <a16:creationId xmlns:a16="http://schemas.microsoft.com/office/drawing/2014/main" id="{48BF0BF1-E09E-4D8E-B446-2559AD0884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662159" y="600075"/>
          <a:ext cx="6359141" cy="5781675"/>
        </a:xfrm>
        <a:prstGeom prst="rect">
          <a:avLst/>
        </a:prstGeom>
        <a:noFill/>
        <a:ln w="1">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561976</xdr:colOff>
      <xdr:row>32</xdr:row>
      <xdr:rowOff>171450</xdr:rowOff>
    </xdr:from>
    <xdr:to>
      <xdr:col>29</xdr:col>
      <xdr:colOff>571500</xdr:colOff>
      <xdr:row>76</xdr:row>
      <xdr:rowOff>28576</xdr:rowOff>
    </xdr:to>
    <xdr:pic>
      <xdr:nvPicPr>
        <xdr:cNvPr id="5" name="Picture 4">
          <a:extLst>
            <a:ext uri="{FF2B5EF4-FFF2-40B4-BE49-F238E27FC236}">
              <a16:creationId xmlns:a16="http://schemas.microsoft.com/office/drawing/2014/main" id="{D9095B93-A8FE-4710-BC10-859A77394C43}"/>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82401" y="6762750"/>
          <a:ext cx="6715124" cy="7743826"/>
        </a:xfrm>
        <a:prstGeom prst="rect">
          <a:avLst/>
        </a:prstGeom>
        <a:noFill/>
        <a:ln>
          <a:noFill/>
        </a:ln>
      </xdr:spPr>
    </xdr:pic>
    <xdr:clientData/>
  </xdr:twoCellAnchor>
  <xdr:twoCellAnchor>
    <xdr:from>
      <xdr:col>29</xdr:col>
      <xdr:colOff>485775</xdr:colOff>
      <xdr:row>2</xdr:row>
      <xdr:rowOff>0</xdr:rowOff>
    </xdr:from>
    <xdr:to>
      <xdr:col>30</xdr:col>
      <xdr:colOff>152400</xdr:colOff>
      <xdr:row>30</xdr:row>
      <xdr:rowOff>133350</xdr:rowOff>
    </xdr:to>
    <xdr:sp macro="" textlink="">
      <xdr:nvSpPr>
        <xdr:cNvPr id="3" name="Right Brace 2">
          <a:extLst>
            <a:ext uri="{FF2B5EF4-FFF2-40B4-BE49-F238E27FC236}">
              <a16:creationId xmlns:a16="http://schemas.microsoft.com/office/drawing/2014/main" id="{283C0417-3483-4813-B7EA-E4B146D34458}"/>
            </a:ext>
          </a:extLst>
        </xdr:cNvPr>
        <xdr:cNvSpPr/>
      </xdr:nvSpPr>
      <xdr:spPr bwMode="auto">
        <a:xfrm>
          <a:off x="18211800" y="581025"/>
          <a:ext cx="276225" cy="5781675"/>
        </a:xfrm>
        <a:prstGeom prst="rightBrace">
          <a:avLst>
            <a:gd name="adj1" fmla="val 8333"/>
            <a:gd name="adj2" fmla="val 49506"/>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30</xdr:col>
      <xdr:colOff>28575</xdr:colOff>
      <xdr:row>32</xdr:row>
      <xdr:rowOff>142875</xdr:rowOff>
    </xdr:from>
    <xdr:to>
      <xdr:col>30</xdr:col>
      <xdr:colOff>304800</xdr:colOff>
      <xdr:row>80</xdr:row>
      <xdr:rowOff>133350</xdr:rowOff>
    </xdr:to>
    <xdr:sp macro="" textlink="">
      <xdr:nvSpPr>
        <xdr:cNvPr id="9" name="Right Brace 8">
          <a:extLst>
            <a:ext uri="{FF2B5EF4-FFF2-40B4-BE49-F238E27FC236}">
              <a16:creationId xmlns:a16="http://schemas.microsoft.com/office/drawing/2014/main" id="{C85D6CAE-96D2-438C-914D-D7EE52B685BA}"/>
            </a:ext>
          </a:extLst>
        </xdr:cNvPr>
        <xdr:cNvSpPr/>
      </xdr:nvSpPr>
      <xdr:spPr bwMode="auto">
        <a:xfrm>
          <a:off x="18364200" y="6753225"/>
          <a:ext cx="276225" cy="7820025"/>
        </a:xfrm>
        <a:prstGeom prst="rightBrace">
          <a:avLst>
            <a:gd name="adj1" fmla="val 8333"/>
            <a:gd name="adj2" fmla="val 49506"/>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209550</xdr:colOff>
      <xdr:row>10</xdr:row>
      <xdr:rowOff>85725</xdr:rowOff>
    </xdr:from>
    <xdr:to>
      <xdr:col>6</xdr:col>
      <xdr:colOff>419100</xdr:colOff>
      <xdr:row>10</xdr:row>
      <xdr:rowOff>85725</xdr:rowOff>
    </xdr:to>
    <xdr:sp macro="" textlink="">
      <xdr:nvSpPr>
        <xdr:cNvPr id="45433" name="Line 239">
          <a:extLst>
            <a:ext uri="{FF2B5EF4-FFF2-40B4-BE49-F238E27FC236}">
              <a16:creationId xmlns:a16="http://schemas.microsoft.com/office/drawing/2014/main" id="{F2561C25-B29A-4ED7-9351-ADE335FE38C9}"/>
            </a:ext>
          </a:extLst>
        </xdr:cNvPr>
        <xdr:cNvSpPr>
          <a:spLocks noChangeShapeType="1"/>
        </xdr:cNvSpPr>
      </xdr:nvSpPr>
      <xdr:spPr bwMode="auto">
        <a:xfrm>
          <a:off x="6086475" y="1924050"/>
          <a:ext cx="20955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114300</xdr:colOff>
      <xdr:row>13</xdr:row>
      <xdr:rowOff>0</xdr:rowOff>
    </xdr:from>
    <xdr:to>
      <xdr:col>7</xdr:col>
      <xdr:colOff>123825</xdr:colOff>
      <xdr:row>13</xdr:row>
      <xdr:rowOff>0</xdr:rowOff>
    </xdr:to>
    <xdr:sp macro="" textlink="">
      <xdr:nvSpPr>
        <xdr:cNvPr id="565536" name="Line 5">
          <a:extLst>
            <a:ext uri="{FF2B5EF4-FFF2-40B4-BE49-F238E27FC236}">
              <a16:creationId xmlns:a16="http://schemas.microsoft.com/office/drawing/2014/main" id="{7D27A426-B937-43CF-849F-08A7F6996EBA}"/>
            </a:ext>
          </a:extLst>
        </xdr:cNvPr>
        <xdr:cNvSpPr>
          <a:spLocks noChangeShapeType="1"/>
        </xdr:cNvSpPr>
      </xdr:nvSpPr>
      <xdr:spPr bwMode="auto">
        <a:xfrm>
          <a:off x="3905250" y="2390775"/>
          <a:ext cx="66675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11</xdr:row>
      <xdr:rowOff>57150</xdr:rowOff>
    </xdr:from>
    <xdr:to>
      <xdr:col>5</xdr:col>
      <xdr:colOff>9525</xdr:colOff>
      <xdr:row>14</xdr:row>
      <xdr:rowOff>85725</xdr:rowOff>
    </xdr:to>
    <xdr:sp macro="" textlink="">
      <xdr:nvSpPr>
        <xdr:cNvPr id="565532" name="Rectangle 1">
          <a:extLst>
            <a:ext uri="{FF2B5EF4-FFF2-40B4-BE49-F238E27FC236}">
              <a16:creationId xmlns:a16="http://schemas.microsoft.com/office/drawing/2014/main" id="{4F26A944-85B1-4DF4-9690-2662EF99DFE8}"/>
            </a:ext>
          </a:extLst>
        </xdr:cNvPr>
        <xdr:cNvSpPr>
          <a:spLocks noChangeArrowheads="1"/>
        </xdr:cNvSpPr>
      </xdr:nvSpPr>
      <xdr:spPr bwMode="auto">
        <a:xfrm>
          <a:off x="2447925" y="2105025"/>
          <a:ext cx="742950" cy="542925"/>
        </a:xfrm>
        <a:prstGeom prst="rect">
          <a:avLst/>
        </a:prstGeom>
        <a:solidFill>
          <a:srgbClr val="FFCC00"/>
        </a:solidFill>
        <a:ln w="9525">
          <a:solidFill>
            <a:srgbClr val="000000"/>
          </a:solidFill>
          <a:miter lim="800000"/>
          <a:headEnd/>
          <a:tailEnd/>
        </a:ln>
      </xdr:spPr>
    </xdr:sp>
    <xdr:clientData/>
  </xdr:twoCellAnchor>
  <xdr:twoCellAnchor>
    <xdr:from>
      <xdr:col>5</xdr:col>
      <xdr:colOff>190500</xdr:colOff>
      <xdr:row>10</xdr:row>
      <xdr:rowOff>152400</xdr:rowOff>
    </xdr:from>
    <xdr:to>
      <xdr:col>6</xdr:col>
      <xdr:colOff>114300</xdr:colOff>
      <xdr:row>15</xdr:row>
      <xdr:rowOff>9525</xdr:rowOff>
    </xdr:to>
    <xdr:sp macro="" textlink="">
      <xdr:nvSpPr>
        <xdr:cNvPr id="565533" name="AutoShape 2">
          <a:extLst>
            <a:ext uri="{FF2B5EF4-FFF2-40B4-BE49-F238E27FC236}">
              <a16:creationId xmlns:a16="http://schemas.microsoft.com/office/drawing/2014/main" id="{6B2012EB-AF4F-4B14-AEAC-2F3BD281810E}"/>
            </a:ext>
          </a:extLst>
        </xdr:cNvPr>
        <xdr:cNvSpPr>
          <a:spLocks noChangeArrowheads="1"/>
        </xdr:cNvSpPr>
      </xdr:nvSpPr>
      <xdr:spPr bwMode="auto">
        <a:xfrm rot="5400000">
          <a:off x="3281362" y="2119313"/>
          <a:ext cx="714375" cy="533400"/>
        </a:xfrm>
        <a:prstGeom prst="flowChartExtract">
          <a:avLst/>
        </a:prstGeom>
        <a:solidFill>
          <a:srgbClr val="FFCC00"/>
        </a:solidFill>
        <a:ln w="9525">
          <a:solidFill>
            <a:srgbClr val="000000"/>
          </a:solidFill>
          <a:miter lim="800000"/>
          <a:headEnd/>
          <a:tailEnd/>
        </a:ln>
      </xdr:spPr>
    </xdr:sp>
    <xdr:clientData/>
  </xdr:twoCellAnchor>
  <xdr:twoCellAnchor>
    <xdr:from>
      <xdr:col>5</xdr:col>
      <xdr:colOff>9525</xdr:colOff>
      <xdr:row>12</xdr:row>
      <xdr:rowOff>152400</xdr:rowOff>
    </xdr:from>
    <xdr:to>
      <xdr:col>5</xdr:col>
      <xdr:colOff>190500</xdr:colOff>
      <xdr:row>12</xdr:row>
      <xdr:rowOff>152400</xdr:rowOff>
    </xdr:to>
    <xdr:sp macro="" textlink="">
      <xdr:nvSpPr>
        <xdr:cNvPr id="565535" name="Line 4">
          <a:extLst>
            <a:ext uri="{FF2B5EF4-FFF2-40B4-BE49-F238E27FC236}">
              <a16:creationId xmlns:a16="http://schemas.microsoft.com/office/drawing/2014/main" id="{9BB118CC-3360-4D10-A77B-B66A78810147}"/>
            </a:ext>
          </a:extLst>
        </xdr:cNvPr>
        <xdr:cNvSpPr>
          <a:spLocks noChangeShapeType="1"/>
        </xdr:cNvSpPr>
      </xdr:nvSpPr>
      <xdr:spPr bwMode="auto">
        <a:xfrm>
          <a:off x="3190875" y="2371725"/>
          <a:ext cx="180975"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666750</xdr:colOff>
      <xdr:row>10</xdr:row>
      <xdr:rowOff>142875</xdr:rowOff>
    </xdr:from>
    <xdr:to>
      <xdr:col>7</xdr:col>
      <xdr:colOff>0</xdr:colOff>
      <xdr:row>15</xdr:row>
      <xdr:rowOff>9525</xdr:rowOff>
    </xdr:to>
    <xdr:sp macro="" textlink="">
      <xdr:nvSpPr>
        <xdr:cNvPr id="565534" name="AutoShape 3">
          <a:extLst>
            <a:ext uri="{FF2B5EF4-FFF2-40B4-BE49-F238E27FC236}">
              <a16:creationId xmlns:a16="http://schemas.microsoft.com/office/drawing/2014/main" id="{A3530069-BF22-4E88-8E71-0565D8008579}"/>
            </a:ext>
          </a:extLst>
        </xdr:cNvPr>
        <xdr:cNvSpPr>
          <a:spLocks noChangeArrowheads="1"/>
        </xdr:cNvSpPr>
      </xdr:nvSpPr>
      <xdr:spPr bwMode="auto">
        <a:xfrm>
          <a:off x="4550833" y="2016125"/>
          <a:ext cx="105834" cy="713317"/>
        </a:xfrm>
        <a:prstGeom prst="moon">
          <a:avLst>
            <a:gd name="adj" fmla="val 50000"/>
          </a:avLst>
        </a:prstGeom>
        <a:solidFill>
          <a:srgbClr val="FFCC00"/>
        </a:solidFill>
        <a:ln w="9525">
          <a:solidFill>
            <a:srgbClr val="000000"/>
          </a:solidFill>
          <a:miter lim="800000"/>
          <a:headEnd/>
          <a:tailEnd/>
        </a:ln>
      </xdr:spPr>
    </xdr:sp>
    <xdr:clientData/>
  </xdr:twoCellAnchor>
  <xdr:twoCellAnchor>
    <xdr:from>
      <xdr:col>11</xdr:col>
      <xdr:colOff>85725</xdr:colOff>
      <xdr:row>9</xdr:row>
      <xdr:rowOff>66675</xdr:rowOff>
    </xdr:from>
    <xdr:to>
      <xdr:col>11</xdr:col>
      <xdr:colOff>209550</xdr:colOff>
      <xdr:row>16</xdr:row>
      <xdr:rowOff>76200</xdr:rowOff>
    </xdr:to>
    <xdr:sp macro="" textlink="">
      <xdr:nvSpPr>
        <xdr:cNvPr id="565537" name="AutoShape 6">
          <a:extLst>
            <a:ext uri="{FF2B5EF4-FFF2-40B4-BE49-F238E27FC236}">
              <a16:creationId xmlns:a16="http://schemas.microsoft.com/office/drawing/2014/main" id="{4C3177F5-DE88-43E5-95EF-9CA5540618B1}"/>
            </a:ext>
          </a:extLst>
        </xdr:cNvPr>
        <xdr:cNvSpPr>
          <a:spLocks noChangeArrowheads="1"/>
        </xdr:cNvSpPr>
      </xdr:nvSpPr>
      <xdr:spPr bwMode="auto">
        <a:xfrm rot="-10793947">
          <a:off x="7038975" y="1771650"/>
          <a:ext cx="123825" cy="1209675"/>
        </a:xfrm>
        <a:prstGeom prst="moon">
          <a:avLst>
            <a:gd name="adj" fmla="val 50000"/>
          </a:avLst>
        </a:prstGeom>
        <a:solidFill>
          <a:srgbClr val="00FFFF"/>
        </a:solidFill>
        <a:ln w="9525">
          <a:solidFill>
            <a:srgbClr val="000000"/>
          </a:solidFill>
          <a:miter lim="800000"/>
          <a:headEnd/>
          <a:tailEnd/>
        </a:ln>
      </xdr:spPr>
    </xdr:sp>
    <xdr:clientData/>
  </xdr:twoCellAnchor>
  <xdr:twoCellAnchor>
    <xdr:from>
      <xdr:col>22</xdr:col>
      <xdr:colOff>285750</xdr:colOff>
      <xdr:row>10</xdr:row>
      <xdr:rowOff>19050</xdr:rowOff>
    </xdr:from>
    <xdr:to>
      <xdr:col>22</xdr:col>
      <xdr:colOff>371475</xdr:colOff>
      <xdr:row>15</xdr:row>
      <xdr:rowOff>133350</xdr:rowOff>
    </xdr:to>
    <xdr:sp macro="" textlink="">
      <xdr:nvSpPr>
        <xdr:cNvPr id="565538" name="AutoShape 9">
          <a:extLst>
            <a:ext uri="{FF2B5EF4-FFF2-40B4-BE49-F238E27FC236}">
              <a16:creationId xmlns:a16="http://schemas.microsoft.com/office/drawing/2014/main" id="{E5E6E677-26A3-4369-8558-7E1B959E1875}"/>
            </a:ext>
          </a:extLst>
        </xdr:cNvPr>
        <xdr:cNvSpPr>
          <a:spLocks noChangeArrowheads="1"/>
        </xdr:cNvSpPr>
      </xdr:nvSpPr>
      <xdr:spPr bwMode="auto">
        <a:xfrm rot="-10724963">
          <a:off x="16211550" y="1895475"/>
          <a:ext cx="85725" cy="971550"/>
        </a:xfrm>
        <a:prstGeom prst="moon">
          <a:avLst>
            <a:gd name="adj" fmla="val 50000"/>
          </a:avLst>
        </a:prstGeom>
        <a:solidFill>
          <a:srgbClr val="FF0000"/>
        </a:solidFill>
        <a:ln w="9525">
          <a:solidFill>
            <a:srgbClr val="000000"/>
          </a:solidFill>
          <a:miter lim="800000"/>
          <a:headEnd/>
          <a:tailEnd/>
        </a:ln>
      </xdr:spPr>
    </xdr:sp>
    <xdr:clientData/>
  </xdr:twoCellAnchor>
  <xdr:twoCellAnchor>
    <xdr:from>
      <xdr:col>18</xdr:col>
      <xdr:colOff>85725</xdr:colOff>
      <xdr:row>10</xdr:row>
      <xdr:rowOff>152400</xdr:rowOff>
    </xdr:from>
    <xdr:to>
      <xdr:col>18</xdr:col>
      <xdr:colOff>590550</xdr:colOff>
      <xdr:row>15</xdr:row>
      <xdr:rowOff>9525</xdr:rowOff>
    </xdr:to>
    <xdr:sp macro="" textlink="">
      <xdr:nvSpPr>
        <xdr:cNvPr id="565539" name="AutoShape 10">
          <a:extLst>
            <a:ext uri="{FF2B5EF4-FFF2-40B4-BE49-F238E27FC236}">
              <a16:creationId xmlns:a16="http://schemas.microsoft.com/office/drawing/2014/main" id="{DA226F59-AED0-4EE2-A0F8-7E56B38A51A6}"/>
            </a:ext>
          </a:extLst>
        </xdr:cNvPr>
        <xdr:cNvSpPr>
          <a:spLocks noChangeArrowheads="1"/>
        </xdr:cNvSpPr>
      </xdr:nvSpPr>
      <xdr:spPr bwMode="auto">
        <a:xfrm rot="5400000">
          <a:off x="13144500" y="2133600"/>
          <a:ext cx="714375" cy="504825"/>
        </a:xfrm>
        <a:prstGeom prst="flowChartExtract">
          <a:avLst/>
        </a:prstGeom>
        <a:solidFill>
          <a:srgbClr val="00FFFF"/>
        </a:solidFill>
        <a:ln w="9525">
          <a:solidFill>
            <a:srgbClr val="000000"/>
          </a:solidFill>
          <a:miter lim="800000"/>
          <a:headEnd/>
          <a:tailEnd/>
        </a:ln>
      </xdr:spPr>
    </xdr:sp>
    <xdr:clientData/>
  </xdr:twoCellAnchor>
  <xdr:twoCellAnchor>
    <xdr:from>
      <xdr:col>10</xdr:col>
      <xdr:colOff>514350</xdr:colOff>
      <xdr:row>13</xdr:row>
      <xdr:rowOff>0</xdr:rowOff>
    </xdr:from>
    <xdr:to>
      <xdr:col>11</xdr:col>
      <xdr:colOff>552450</xdr:colOff>
      <xdr:row>13</xdr:row>
      <xdr:rowOff>0</xdr:rowOff>
    </xdr:to>
    <xdr:sp macro="" textlink="">
      <xdr:nvSpPr>
        <xdr:cNvPr id="565540" name="Line 11">
          <a:extLst>
            <a:ext uri="{FF2B5EF4-FFF2-40B4-BE49-F238E27FC236}">
              <a16:creationId xmlns:a16="http://schemas.microsoft.com/office/drawing/2014/main" id="{39D55A42-0188-4779-8DC0-C2626FC8172B}"/>
            </a:ext>
          </a:extLst>
        </xdr:cNvPr>
        <xdr:cNvSpPr>
          <a:spLocks noChangeShapeType="1"/>
        </xdr:cNvSpPr>
      </xdr:nvSpPr>
      <xdr:spPr bwMode="auto">
        <a:xfrm>
          <a:off x="6858000" y="2390775"/>
          <a:ext cx="64770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523875</xdr:colOff>
      <xdr:row>12</xdr:row>
      <xdr:rowOff>103717</xdr:rowOff>
    </xdr:from>
    <xdr:to>
      <xdr:col>10</xdr:col>
      <xdr:colOff>523875</xdr:colOff>
      <xdr:row>13</xdr:row>
      <xdr:rowOff>65617</xdr:rowOff>
    </xdr:to>
    <xdr:sp macro="" textlink="">
      <xdr:nvSpPr>
        <xdr:cNvPr id="565541" name="Line 12">
          <a:extLst>
            <a:ext uri="{FF2B5EF4-FFF2-40B4-BE49-F238E27FC236}">
              <a16:creationId xmlns:a16="http://schemas.microsoft.com/office/drawing/2014/main" id="{1542A0E0-E32E-4D44-8606-F75E358BD3AC}"/>
            </a:ext>
          </a:extLst>
        </xdr:cNvPr>
        <xdr:cNvSpPr>
          <a:spLocks noChangeShapeType="1"/>
        </xdr:cNvSpPr>
      </xdr:nvSpPr>
      <xdr:spPr bwMode="auto">
        <a:xfrm>
          <a:off x="7159625" y="2315634"/>
          <a:ext cx="0" cy="131233"/>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495300</xdr:colOff>
      <xdr:row>13</xdr:row>
      <xdr:rowOff>28575</xdr:rowOff>
    </xdr:from>
    <xdr:to>
      <xdr:col>13</xdr:col>
      <xdr:colOff>95250</xdr:colOff>
      <xdr:row>13</xdr:row>
      <xdr:rowOff>28575</xdr:rowOff>
    </xdr:to>
    <xdr:sp macro="" textlink="">
      <xdr:nvSpPr>
        <xdr:cNvPr id="565542" name="Line 13">
          <a:extLst>
            <a:ext uri="{FF2B5EF4-FFF2-40B4-BE49-F238E27FC236}">
              <a16:creationId xmlns:a16="http://schemas.microsoft.com/office/drawing/2014/main" id="{B5E6A336-C280-47D2-A6F8-E4B03D6E711D}"/>
            </a:ext>
          </a:extLst>
        </xdr:cNvPr>
        <xdr:cNvSpPr>
          <a:spLocks noChangeShapeType="1"/>
        </xdr:cNvSpPr>
      </xdr:nvSpPr>
      <xdr:spPr bwMode="auto">
        <a:xfrm>
          <a:off x="8134350" y="2419350"/>
          <a:ext cx="20955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495300</xdr:colOff>
      <xdr:row>13</xdr:row>
      <xdr:rowOff>9525</xdr:rowOff>
    </xdr:from>
    <xdr:to>
      <xdr:col>18</xdr:col>
      <xdr:colOff>95250</xdr:colOff>
      <xdr:row>13</xdr:row>
      <xdr:rowOff>9525</xdr:rowOff>
    </xdr:to>
    <xdr:sp macro="" textlink="">
      <xdr:nvSpPr>
        <xdr:cNvPr id="565543" name="Line 14">
          <a:extLst>
            <a:ext uri="{FF2B5EF4-FFF2-40B4-BE49-F238E27FC236}">
              <a16:creationId xmlns:a16="http://schemas.microsoft.com/office/drawing/2014/main" id="{8CFB33DF-E26A-4D0C-91EC-772F0F9C126C}"/>
            </a:ext>
          </a:extLst>
        </xdr:cNvPr>
        <xdr:cNvSpPr>
          <a:spLocks noChangeShapeType="1"/>
        </xdr:cNvSpPr>
      </xdr:nvSpPr>
      <xdr:spPr bwMode="auto">
        <a:xfrm>
          <a:off x="13049250" y="2400300"/>
          <a:ext cx="20955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600075</xdr:colOff>
      <xdr:row>13</xdr:row>
      <xdr:rowOff>0</xdr:rowOff>
    </xdr:from>
    <xdr:to>
      <xdr:col>19</xdr:col>
      <xdr:colOff>438150</xdr:colOff>
      <xdr:row>13</xdr:row>
      <xdr:rowOff>0</xdr:rowOff>
    </xdr:to>
    <xdr:sp macro="" textlink="">
      <xdr:nvSpPr>
        <xdr:cNvPr id="565544" name="Line 15">
          <a:extLst>
            <a:ext uri="{FF2B5EF4-FFF2-40B4-BE49-F238E27FC236}">
              <a16:creationId xmlns:a16="http://schemas.microsoft.com/office/drawing/2014/main" id="{78D82612-A61A-470E-8197-5BED2BDFF5B2}"/>
            </a:ext>
          </a:extLst>
        </xdr:cNvPr>
        <xdr:cNvSpPr>
          <a:spLocks noChangeShapeType="1"/>
        </xdr:cNvSpPr>
      </xdr:nvSpPr>
      <xdr:spPr bwMode="auto">
        <a:xfrm>
          <a:off x="13763625" y="2390775"/>
          <a:ext cx="657225"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438150</xdr:colOff>
      <xdr:row>12</xdr:row>
      <xdr:rowOff>103717</xdr:rowOff>
    </xdr:from>
    <xdr:to>
      <xdr:col>19</xdr:col>
      <xdr:colOff>438150</xdr:colOff>
      <xdr:row>13</xdr:row>
      <xdr:rowOff>65617</xdr:rowOff>
    </xdr:to>
    <xdr:sp macro="" textlink="">
      <xdr:nvSpPr>
        <xdr:cNvPr id="565545" name="Line 16">
          <a:extLst>
            <a:ext uri="{FF2B5EF4-FFF2-40B4-BE49-F238E27FC236}">
              <a16:creationId xmlns:a16="http://schemas.microsoft.com/office/drawing/2014/main" id="{B47398E0-39B9-469F-A4C4-90A699350DDB}"/>
            </a:ext>
          </a:extLst>
        </xdr:cNvPr>
        <xdr:cNvSpPr>
          <a:spLocks noChangeShapeType="1"/>
        </xdr:cNvSpPr>
      </xdr:nvSpPr>
      <xdr:spPr bwMode="auto">
        <a:xfrm flipH="1">
          <a:off x="14820900" y="2315634"/>
          <a:ext cx="0" cy="131233"/>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133350</xdr:colOff>
      <xdr:row>12</xdr:row>
      <xdr:rowOff>113242</xdr:rowOff>
    </xdr:from>
    <xdr:to>
      <xdr:col>7</xdr:col>
      <xdr:colOff>133350</xdr:colOff>
      <xdr:row>13</xdr:row>
      <xdr:rowOff>46567</xdr:rowOff>
    </xdr:to>
    <xdr:sp macro="" textlink="">
      <xdr:nvSpPr>
        <xdr:cNvPr id="565546" name="Line 17">
          <a:extLst>
            <a:ext uri="{FF2B5EF4-FFF2-40B4-BE49-F238E27FC236}">
              <a16:creationId xmlns:a16="http://schemas.microsoft.com/office/drawing/2014/main" id="{F6601419-BFA5-494F-9C4A-F97228456833}"/>
            </a:ext>
          </a:extLst>
        </xdr:cNvPr>
        <xdr:cNvSpPr>
          <a:spLocks noChangeShapeType="1"/>
        </xdr:cNvSpPr>
      </xdr:nvSpPr>
      <xdr:spPr bwMode="auto">
        <a:xfrm flipH="1">
          <a:off x="4790017" y="2325159"/>
          <a:ext cx="0" cy="10265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152400</xdr:colOff>
      <xdr:row>10</xdr:row>
      <xdr:rowOff>152400</xdr:rowOff>
    </xdr:from>
    <xdr:to>
      <xdr:col>24</xdr:col>
      <xdr:colOff>38100</xdr:colOff>
      <xdr:row>15</xdr:row>
      <xdr:rowOff>9525</xdr:rowOff>
    </xdr:to>
    <xdr:sp macro="" textlink="">
      <xdr:nvSpPr>
        <xdr:cNvPr id="565547" name="AutoShape 18">
          <a:extLst>
            <a:ext uri="{FF2B5EF4-FFF2-40B4-BE49-F238E27FC236}">
              <a16:creationId xmlns:a16="http://schemas.microsoft.com/office/drawing/2014/main" id="{DE5D1B25-840E-49D8-A351-49363C5EC4FF}"/>
            </a:ext>
          </a:extLst>
        </xdr:cNvPr>
        <xdr:cNvSpPr>
          <a:spLocks noChangeArrowheads="1"/>
        </xdr:cNvSpPr>
      </xdr:nvSpPr>
      <xdr:spPr bwMode="auto">
        <a:xfrm rot="5400000">
          <a:off x="16711612" y="2109788"/>
          <a:ext cx="714375" cy="552450"/>
        </a:xfrm>
        <a:prstGeom prst="flowChartExtract">
          <a:avLst/>
        </a:prstGeom>
        <a:solidFill>
          <a:srgbClr val="FF0000"/>
        </a:solidFill>
        <a:ln w="9525">
          <a:solidFill>
            <a:srgbClr val="000000"/>
          </a:solidFill>
          <a:miter lim="800000"/>
          <a:headEnd/>
          <a:tailEnd/>
        </a:ln>
      </xdr:spPr>
    </xdr:sp>
    <xdr:clientData/>
  </xdr:twoCellAnchor>
  <xdr:twoCellAnchor>
    <xdr:from>
      <xdr:col>24</xdr:col>
      <xdr:colOff>314325</xdr:colOff>
      <xdr:row>11</xdr:row>
      <xdr:rowOff>66675</xdr:rowOff>
    </xdr:from>
    <xdr:to>
      <xdr:col>25</xdr:col>
      <xdr:colOff>323850</xdr:colOff>
      <xdr:row>14</xdr:row>
      <xdr:rowOff>95250</xdr:rowOff>
    </xdr:to>
    <xdr:sp macro="" textlink="">
      <xdr:nvSpPr>
        <xdr:cNvPr id="565548" name="Rectangle 19">
          <a:extLst>
            <a:ext uri="{FF2B5EF4-FFF2-40B4-BE49-F238E27FC236}">
              <a16:creationId xmlns:a16="http://schemas.microsoft.com/office/drawing/2014/main" id="{4B472391-3FC7-4245-9BBA-9F4AA742F71E}"/>
            </a:ext>
          </a:extLst>
        </xdr:cNvPr>
        <xdr:cNvSpPr>
          <a:spLocks noChangeArrowheads="1"/>
        </xdr:cNvSpPr>
      </xdr:nvSpPr>
      <xdr:spPr bwMode="auto">
        <a:xfrm>
          <a:off x="17621250" y="2114550"/>
          <a:ext cx="619125" cy="542925"/>
        </a:xfrm>
        <a:prstGeom prst="rect">
          <a:avLst/>
        </a:prstGeom>
        <a:solidFill>
          <a:srgbClr val="FF0000"/>
        </a:solidFill>
        <a:ln w="9525">
          <a:solidFill>
            <a:srgbClr val="000000"/>
          </a:solidFill>
          <a:miter lim="800000"/>
          <a:headEnd/>
          <a:tailEnd/>
        </a:ln>
      </xdr:spPr>
    </xdr:sp>
    <xdr:clientData/>
  </xdr:twoCellAnchor>
  <xdr:twoCellAnchor>
    <xdr:from>
      <xdr:col>22</xdr:col>
      <xdr:colOff>123825</xdr:colOff>
      <xdr:row>13</xdr:row>
      <xdr:rowOff>0</xdr:rowOff>
    </xdr:from>
    <xdr:to>
      <xdr:col>23</xdr:col>
      <xdr:colOff>133350</xdr:colOff>
      <xdr:row>13</xdr:row>
      <xdr:rowOff>0</xdr:rowOff>
    </xdr:to>
    <xdr:sp macro="" textlink="">
      <xdr:nvSpPr>
        <xdr:cNvPr id="565549" name="Line 20">
          <a:extLst>
            <a:ext uri="{FF2B5EF4-FFF2-40B4-BE49-F238E27FC236}">
              <a16:creationId xmlns:a16="http://schemas.microsoft.com/office/drawing/2014/main" id="{B7381613-5E5C-456A-A990-40752FCAA104}"/>
            </a:ext>
          </a:extLst>
        </xdr:cNvPr>
        <xdr:cNvSpPr>
          <a:spLocks noChangeShapeType="1"/>
        </xdr:cNvSpPr>
      </xdr:nvSpPr>
      <xdr:spPr bwMode="auto">
        <a:xfrm>
          <a:off x="16049625" y="2390775"/>
          <a:ext cx="72390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47625</xdr:colOff>
      <xdr:row>13</xdr:row>
      <xdr:rowOff>0</xdr:rowOff>
    </xdr:from>
    <xdr:to>
      <xdr:col>24</xdr:col>
      <xdr:colOff>314325</xdr:colOff>
      <xdr:row>13</xdr:row>
      <xdr:rowOff>0</xdr:rowOff>
    </xdr:to>
    <xdr:sp macro="" textlink="">
      <xdr:nvSpPr>
        <xdr:cNvPr id="565550" name="Line 21">
          <a:extLst>
            <a:ext uri="{FF2B5EF4-FFF2-40B4-BE49-F238E27FC236}">
              <a16:creationId xmlns:a16="http://schemas.microsoft.com/office/drawing/2014/main" id="{399EF52D-0633-403E-94C2-BDB017C848B1}"/>
            </a:ext>
          </a:extLst>
        </xdr:cNvPr>
        <xdr:cNvSpPr>
          <a:spLocks noChangeShapeType="1"/>
        </xdr:cNvSpPr>
      </xdr:nvSpPr>
      <xdr:spPr bwMode="auto">
        <a:xfrm flipV="1">
          <a:off x="17354550" y="2390775"/>
          <a:ext cx="26670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8</xdr:col>
      <xdr:colOff>342900</xdr:colOff>
      <xdr:row>10</xdr:row>
      <xdr:rowOff>38100</xdr:rowOff>
    </xdr:from>
    <xdr:ext cx="495777" cy="170560"/>
    <xdr:sp macro="" textlink="">
      <xdr:nvSpPr>
        <xdr:cNvPr id="22" name="Text Box 22">
          <a:extLst>
            <a:ext uri="{FF2B5EF4-FFF2-40B4-BE49-F238E27FC236}">
              <a16:creationId xmlns:a16="http://schemas.microsoft.com/office/drawing/2014/main" id="{049584DB-A2F3-4AAD-A921-6B17B5D52603}"/>
            </a:ext>
          </a:extLst>
        </xdr:cNvPr>
        <xdr:cNvSpPr txBox="1">
          <a:spLocks noChangeArrowheads="1"/>
        </xdr:cNvSpPr>
      </xdr:nvSpPr>
      <xdr:spPr bwMode="auto">
        <a:xfrm>
          <a:off x="5467350" y="1914525"/>
          <a:ext cx="495777"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UPLINK</a:t>
          </a:r>
        </a:p>
      </xdr:txBody>
    </xdr:sp>
    <xdr:clientData/>
  </xdr:oneCellAnchor>
  <xdr:oneCellAnchor>
    <xdr:from>
      <xdr:col>20</xdr:col>
      <xdr:colOff>190500</xdr:colOff>
      <xdr:row>10</xdr:row>
      <xdr:rowOff>66675</xdr:rowOff>
    </xdr:from>
    <xdr:ext cx="723660" cy="170560"/>
    <xdr:sp macro="" textlink="">
      <xdr:nvSpPr>
        <xdr:cNvPr id="23" name="Text Box 23">
          <a:extLst>
            <a:ext uri="{FF2B5EF4-FFF2-40B4-BE49-F238E27FC236}">
              <a16:creationId xmlns:a16="http://schemas.microsoft.com/office/drawing/2014/main" id="{3E820319-DC8E-4FAF-9F52-5A13A8C1A24E}"/>
            </a:ext>
          </a:extLst>
        </xdr:cNvPr>
        <xdr:cNvSpPr txBox="1">
          <a:spLocks noChangeArrowheads="1"/>
        </xdr:cNvSpPr>
      </xdr:nvSpPr>
      <xdr:spPr bwMode="auto">
        <a:xfrm>
          <a:off x="14897100" y="1943100"/>
          <a:ext cx="723660"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DOWNLINK</a:t>
          </a:r>
        </a:p>
      </xdr:txBody>
    </xdr:sp>
    <xdr:clientData/>
  </xdr:oneCellAnchor>
  <xdr:twoCellAnchor>
    <xdr:from>
      <xdr:col>22</xdr:col>
      <xdr:colOff>133350</xdr:colOff>
      <xdr:row>12</xdr:row>
      <xdr:rowOff>114300</xdr:rowOff>
    </xdr:from>
    <xdr:to>
      <xdr:col>22</xdr:col>
      <xdr:colOff>133350</xdr:colOff>
      <xdr:row>13</xdr:row>
      <xdr:rowOff>57150</xdr:rowOff>
    </xdr:to>
    <xdr:sp macro="" textlink="">
      <xdr:nvSpPr>
        <xdr:cNvPr id="565553" name="Line 24">
          <a:extLst>
            <a:ext uri="{FF2B5EF4-FFF2-40B4-BE49-F238E27FC236}">
              <a16:creationId xmlns:a16="http://schemas.microsoft.com/office/drawing/2014/main" id="{C67BED75-A6F4-4AC3-90E2-4B22043D612E}"/>
            </a:ext>
          </a:extLst>
        </xdr:cNvPr>
        <xdr:cNvSpPr>
          <a:spLocks noChangeShapeType="1"/>
        </xdr:cNvSpPr>
      </xdr:nvSpPr>
      <xdr:spPr bwMode="auto">
        <a:xfrm>
          <a:off x="16059150" y="2333625"/>
          <a:ext cx="0" cy="11430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323850</xdr:colOff>
      <xdr:row>12</xdr:row>
      <xdr:rowOff>152400</xdr:rowOff>
    </xdr:from>
    <xdr:to>
      <xdr:col>26</xdr:col>
      <xdr:colOff>695325</xdr:colOff>
      <xdr:row>12</xdr:row>
      <xdr:rowOff>152400</xdr:rowOff>
    </xdr:to>
    <xdr:sp macro="" textlink="">
      <xdr:nvSpPr>
        <xdr:cNvPr id="565554" name="Line 25">
          <a:extLst>
            <a:ext uri="{FF2B5EF4-FFF2-40B4-BE49-F238E27FC236}">
              <a16:creationId xmlns:a16="http://schemas.microsoft.com/office/drawing/2014/main" id="{6C6EEDB0-238C-4989-B7FA-517130AA5745}"/>
            </a:ext>
          </a:extLst>
        </xdr:cNvPr>
        <xdr:cNvSpPr>
          <a:spLocks noChangeShapeType="1"/>
        </xdr:cNvSpPr>
      </xdr:nvSpPr>
      <xdr:spPr bwMode="auto">
        <a:xfrm flipV="1">
          <a:off x="18240375" y="2371725"/>
          <a:ext cx="9810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13</xdr:col>
      <xdr:colOff>533400</xdr:colOff>
      <xdr:row>11</xdr:row>
      <xdr:rowOff>76200</xdr:rowOff>
    </xdr:from>
    <xdr:to>
      <xdr:col>13</xdr:col>
      <xdr:colOff>609600</xdr:colOff>
      <xdr:row>12</xdr:row>
      <xdr:rowOff>85725</xdr:rowOff>
    </xdr:to>
    <xdr:sp macro="" textlink="">
      <xdr:nvSpPr>
        <xdr:cNvPr id="565555" name="Text Box 26">
          <a:extLst>
            <a:ext uri="{FF2B5EF4-FFF2-40B4-BE49-F238E27FC236}">
              <a16:creationId xmlns:a16="http://schemas.microsoft.com/office/drawing/2014/main" id="{9E3E9053-609C-4CDC-BF29-57FC176188F6}"/>
            </a:ext>
          </a:extLst>
        </xdr:cNvPr>
        <xdr:cNvSpPr txBox="1">
          <a:spLocks noChangeArrowheads="1"/>
        </xdr:cNvSpPr>
      </xdr:nvSpPr>
      <xdr:spPr bwMode="auto">
        <a:xfrm>
          <a:off x="8782050" y="2124075"/>
          <a:ext cx="7620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12</xdr:col>
      <xdr:colOff>571500</xdr:colOff>
      <xdr:row>8</xdr:row>
      <xdr:rowOff>38100</xdr:rowOff>
    </xdr:from>
    <xdr:to>
      <xdr:col>13</xdr:col>
      <xdr:colOff>38100</xdr:colOff>
      <xdr:row>9</xdr:row>
      <xdr:rowOff>66675</xdr:rowOff>
    </xdr:to>
    <xdr:sp macro="" textlink="">
      <xdr:nvSpPr>
        <xdr:cNvPr id="565556" name="Text Box 27">
          <a:extLst>
            <a:ext uri="{FF2B5EF4-FFF2-40B4-BE49-F238E27FC236}">
              <a16:creationId xmlns:a16="http://schemas.microsoft.com/office/drawing/2014/main" id="{4AEC3DA2-E1E3-44C5-821A-CFCACF9406DC}"/>
            </a:ext>
          </a:extLst>
        </xdr:cNvPr>
        <xdr:cNvSpPr txBox="1">
          <a:spLocks noChangeArrowheads="1"/>
        </xdr:cNvSpPr>
      </xdr:nvSpPr>
      <xdr:spPr bwMode="auto">
        <a:xfrm>
          <a:off x="8210550" y="157162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7</xdr:col>
      <xdr:colOff>315383</xdr:colOff>
      <xdr:row>12</xdr:row>
      <xdr:rowOff>157691</xdr:rowOff>
    </xdr:from>
    <xdr:to>
      <xdr:col>10</xdr:col>
      <xdr:colOff>401108</xdr:colOff>
      <xdr:row>12</xdr:row>
      <xdr:rowOff>157691</xdr:rowOff>
    </xdr:to>
    <xdr:sp macro="" textlink="">
      <xdr:nvSpPr>
        <xdr:cNvPr id="297209" name="Line 33">
          <a:extLst>
            <a:ext uri="{FF2B5EF4-FFF2-40B4-BE49-F238E27FC236}">
              <a16:creationId xmlns:a16="http://schemas.microsoft.com/office/drawing/2014/main" id="{A1FADC10-6D13-462F-95CB-95FE9CC1FF35}"/>
            </a:ext>
          </a:extLst>
        </xdr:cNvPr>
        <xdr:cNvSpPr>
          <a:spLocks noChangeShapeType="1"/>
        </xdr:cNvSpPr>
      </xdr:nvSpPr>
      <xdr:spPr bwMode="auto">
        <a:xfrm flipV="1">
          <a:off x="4972050" y="2464858"/>
          <a:ext cx="2064808" cy="0"/>
        </a:xfrm>
        <a:prstGeom prst="line">
          <a:avLst/>
        </a:prstGeom>
        <a:ln w="28575">
          <a:prstDash val="lgDashDot"/>
          <a:headEnd/>
          <a:tailEnd type="triangle" w="med" len="med"/>
        </a:ln>
      </xdr:spPr>
      <xdr:style>
        <a:lnRef idx="1">
          <a:schemeClr val="accent1"/>
        </a:lnRef>
        <a:fillRef idx="0">
          <a:schemeClr val="accent1"/>
        </a:fillRef>
        <a:effectRef idx="0">
          <a:schemeClr val="accent1"/>
        </a:effectRef>
        <a:fontRef idx="minor">
          <a:schemeClr val="tx1"/>
        </a:fontRef>
      </xdr:style>
      <xdr:txBody>
        <a:bodyPr/>
        <a:lstStyle/>
        <a:p>
          <a:endParaRPr lang="en-AU"/>
        </a:p>
      </xdr:txBody>
    </xdr:sp>
    <xdr:clientData/>
  </xdr:twoCellAnchor>
  <xdr:twoCellAnchor>
    <xdr:from>
      <xdr:col>19</xdr:col>
      <xdr:colOff>552450</xdr:colOff>
      <xdr:row>13</xdr:row>
      <xdr:rowOff>0</xdr:rowOff>
    </xdr:from>
    <xdr:to>
      <xdr:col>22</xdr:col>
      <xdr:colOff>28575</xdr:colOff>
      <xdr:row>13</xdr:row>
      <xdr:rowOff>0</xdr:rowOff>
    </xdr:to>
    <xdr:sp macro="" textlink="">
      <xdr:nvSpPr>
        <xdr:cNvPr id="297210" name="Line 34">
          <a:extLst>
            <a:ext uri="{FF2B5EF4-FFF2-40B4-BE49-F238E27FC236}">
              <a16:creationId xmlns:a16="http://schemas.microsoft.com/office/drawing/2014/main" id="{E2DA9574-F73A-46AA-B759-D5A8DF4E86F2}"/>
            </a:ext>
          </a:extLst>
        </xdr:cNvPr>
        <xdr:cNvSpPr>
          <a:spLocks noChangeShapeType="1"/>
        </xdr:cNvSpPr>
      </xdr:nvSpPr>
      <xdr:spPr bwMode="auto">
        <a:xfrm flipV="1">
          <a:off x="11258550" y="2562225"/>
          <a:ext cx="1419225" cy="0"/>
        </a:xfrm>
        <a:prstGeom prst="line">
          <a:avLst/>
        </a:prstGeom>
        <a:ln w="28575">
          <a:prstDash val="lgDashDot"/>
          <a:headEnd/>
          <a:tailEnd type="triangle" w="med" len="med"/>
        </a:ln>
      </xdr:spPr>
      <xdr:style>
        <a:lnRef idx="1">
          <a:schemeClr val="accent1"/>
        </a:lnRef>
        <a:fillRef idx="0">
          <a:schemeClr val="accent1"/>
        </a:fillRef>
        <a:effectRef idx="0">
          <a:schemeClr val="accent1"/>
        </a:effectRef>
        <a:fontRef idx="minor">
          <a:schemeClr val="tx1"/>
        </a:fontRef>
      </xdr:style>
      <xdr:txBody>
        <a:bodyPr/>
        <a:lstStyle/>
        <a:p>
          <a:endParaRPr lang="en-AU"/>
        </a:p>
      </xdr:txBody>
    </xdr:sp>
    <xdr:clientData/>
  </xdr:twoCellAnchor>
  <xdr:twoCellAnchor>
    <xdr:from>
      <xdr:col>3</xdr:col>
      <xdr:colOff>9525</xdr:colOff>
      <xdr:row>13</xdr:row>
      <xdr:rowOff>0</xdr:rowOff>
    </xdr:from>
    <xdr:to>
      <xdr:col>4</xdr:col>
      <xdr:colOff>0</xdr:colOff>
      <xdr:row>13</xdr:row>
      <xdr:rowOff>0</xdr:rowOff>
    </xdr:to>
    <xdr:sp macro="" textlink="">
      <xdr:nvSpPr>
        <xdr:cNvPr id="565559" name="Line 36">
          <a:extLst>
            <a:ext uri="{FF2B5EF4-FFF2-40B4-BE49-F238E27FC236}">
              <a16:creationId xmlns:a16="http://schemas.microsoft.com/office/drawing/2014/main" id="{F678EF63-DA60-4993-B4AE-FFA38A7ACCA1}"/>
            </a:ext>
          </a:extLst>
        </xdr:cNvPr>
        <xdr:cNvSpPr>
          <a:spLocks noChangeShapeType="1"/>
        </xdr:cNvSpPr>
      </xdr:nvSpPr>
      <xdr:spPr bwMode="auto">
        <a:xfrm>
          <a:off x="1838325" y="2390775"/>
          <a:ext cx="6000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0</xdr:colOff>
      <xdr:row>15</xdr:row>
      <xdr:rowOff>19050</xdr:rowOff>
    </xdr:from>
    <xdr:to>
      <xdr:col>7</xdr:col>
      <xdr:colOff>0</xdr:colOff>
      <xdr:row>18</xdr:row>
      <xdr:rowOff>0</xdr:rowOff>
    </xdr:to>
    <xdr:sp macro="" textlink="">
      <xdr:nvSpPr>
        <xdr:cNvPr id="565560" name="Line 37">
          <a:extLst>
            <a:ext uri="{FF2B5EF4-FFF2-40B4-BE49-F238E27FC236}">
              <a16:creationId xmlns:a16="http://schemas.microsoft.com/office/drawing/2014/main" id="{EAA6155B-A5D2-4D72-8472-B5108B36731B}"/>
            </a:ext>
          </a:extLst>
        </xdr:cNvPr>
        <xdr:cNvSpPr>
          <a:spLocks noChangeShapeType="1"/>
        </xdr:cNvSpPr>
      </xdr:nvSpPr>
      <xdr:spPr bwMode="auto">
        <a:xfrm flipV="1">
          <a:off x="4448175" y="2752725"/>
          <a:ext cx="0" cy="495300"/>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323850</xdr:colOff>
      <xdr:row>14</xdr:row>
      <xdr:rowOff>85725</xdr:rowOff>
    </xdr:from>
    <xdr:to>
      <xdr:col>5</xdr:col>
      <xdr:colOff>323850</xdr:colOff>
      <xdr:row>19</xdr:row>
      <xdr:rowOff>152400</xdr:rowOff>
    </xdr:to>
    <xdr:sp macro="" textlink="">
      <xdr:nvSpPr>
        <xdr:cNvPr id="565561" name="Line 38">
          <a:extLst>
            <a:ext uri="{FF2B5EF4-FFF2-40B4-BE49-F238E27FC236}">
              <a16:creationId xmlns:a16="http://schemas.microsoft.com/office/drawing/2014/main" id="{A94F5919-C95E-45F6-AB53-4CD264B09D5C}"/>
            </a:ext>
          </a:extLst>
        </xdr:cNvPr>
        <xdr:cNvSpPr>
          <a:spLocks noChangeShapeType="1"/>
        </xdr:cNvSpPr>
      </xdr:nvSpPr>
      <xdr:spPr bwMode="auto">
        <a:xfrm flipV="1">
          <a:off x="3505200" y="2647950"/>
          <a:ext cx="0" cy="933450"/>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6</xdr:col>
      <xdr:colOff>285750</xdr:colOff>
      <xdr:row>10</xdr:row>
      <xdr:rowOff>0</xdr:rowOff>
    </xdr:from>
    <xdr:to>
      <xdr:col>6</xdr:col>
      <xdr:colOff>285750</xdr:colOff>
      <xdr:row>13</xdr:row>
      <xdr:rowOff>0</xdr:rowOff>
    </xdr:to>
    <xdr:sp macro="" textlink="">
      <xdr:nvSpPr>
        <xdr:cNvPr id="565562" name="Line 39">
          <a:extLst>
            <a:ext uri="{FF2B5EF4-FFF2-40B4-BE49-F238E27FC236}">
              <a16:creationId xmlns:a16="http://schemas.microsoft.com/office/drawing/2014/main" id="{76C43492-4E38-43D9-9150-384E60A43A4F}"/>
            </a:ext>
          </a:extLst>
        </xdr:cNvPr>
        <xdr:cNvSpPr>
          <a:spLocks noChangeShapeType="1"/>
        </xdr:cNvSpPr>
      </xdr:nvSpPr>
      <xdr:spPr bwMode="auto">
        <a:xfrm>
          <a:off x="4076700" y="1876425"/>
          <a:ext cx="0" cy="514350"/>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304800</xdr:colOff>
      <xdr:row>18</xdr:row>
      <xdr:rowOff>171450</xdr:rowOff>
    </xdr:from>
    <xdr:to>
      <xdr:col>7</xdr:col>
      <xdr:colOff>304800</xdr:colOff>
      <xdr:row>21</xdr:row>
      <xdr:rowOff>161925</xdr:rowOff>
    </xdr:to>
    <xdr:sp macro="" textlink="">
      <xdr:nvSpPr>
        <xdr:cNvPr id="565563" name="Line 40">
          <a:extLst>
            <a:ext uri="{FF2B5EF4-FFF2-40B4-BE49-F238E27FC236}">
              <a16:creationId xmlns:a16="http://schemas.microsoft.com/office/drawing/2014/main" id="{6C46530A-AC11-42C6-B5E2-AEF1747185CD}"/>
            </a:ext>
          </a:extLst>
        </xdr:cNvPr>
        <xdr:cNvSpPr>
          <a:spLocks noChangeShapeType="1"/>
        </xdr:cNvSpPr>
      </xdr:nvSpPr>
      <xdr:spPr bwMode="auto">
        <a:xfrm>
          <a:off x="4752975" y="3419475"/>
          <a:ext cx="0" cy="5143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285750</xdr:colOff>
      <xdr:row>21</xdr:row>
      <xdr:rowOff>0</xdr:rowOff>
    </xdr:from>
    <xdr:to>
      <xdr:col>6</xdr:col>
      <xdr:colOff>285750</xdr:colOff>
      <xdr:row>22</xdr:row>
      <xdr:rowOff>0</xdr:rowOff>
    </xdr:to>
    <xdr:sp macro="" textlink="">
      <xdr:nvSpPr>
        <xdr:cNvPr id="565564" name="Line 41">
          <a:extLst>
            <a:ext uri="{FF2B5EF4-FFF2-40B4-BE49-F238E27FC236}">
              <a16:creationId xmlns:a16="http://schemas.microsoft.com/office/drawing/2014/main" id="{7DC769AD-131C-4B15-A74F-541A54DF0D11}"/>
            </a:ext>
          </a:extLst>
        </xdr:cNvPr>
        <xdr:cNvSpPr>
          <a:spLocks noChangeShapeType="1"/>
        </xdr:cNvSpPr>
      </xdr:nvSpPr>
      <xdr:spPr bwMode="auto">
        <a:xfrm>
          <a:off x="4076700" y="3771900"/>
          <a:ext cx="0" cy="1714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19</xdr:col>
      <xdr:colOff>219075</xdr:colOff>
      <xdr:row>9</xdr:row>
      <xdr:rowOff>85725</xdr:rowOff>
    </xdr:from>
    <xdr:to>
      <xdr:col>19</xdr:col>
      <xdr:colOff>342900</xdr:colOff>
      <xdr:row>16</xdr:row>
      <xdr:rowOff>95250</xdr:rowOff>
    </xdr:to>
    <xdr:sp macro="" textlink="">
      <xdr:nvSpPr>
        <xdr:cNvPr id="565565" name="AutoShape 42">
          <a:extLst>
            <a:ext uri="{FF2B5EF4-FFF2-40B4-BE49-F238E27FC236}">
              <a16:creationId xmlns:a16="http://schemas.microsoft.com/office/drawing/2014/main" id="{F0409BE5-9DAF-49B7-A3AA-EEE51EAABA3B}"/>
            </a:ext>
          </a:extLst>
        </xdr:cNvPr>
        <xdr:cNvSpPr>
          <a:spLocks noChangeArrowheads="1"/>
        </xdr:cNvSpPr>
      </xdr:nvSpPr>
      <xdr:spPr bwMode="auto">
        <a:xfrm rot="33230">
          <a:off x="14201775" y="1790700"/>
          <a:ext cx="123825" cy="1209675"/>
        </a:xfrm>
        <a:prstGeom prst="moon">
          <a:avLst>
            <a:gd name="adj" fmla="val 50000"/>
          </a:avLst>
        </a:prstGeom>
        <a:solidFill>
          <a:srgbClr val="00FFFF"/>
        </a:solidFill>
        <a:ln w="9525">
          <a:solidFill>
            <a:srgbClr val="000000"/>
          </a:solidFill>
          <a:miter lim="800000"/>
          <a:headEnd/>
          <a:tailEnd/>
        </a:ln>
      </xdr:spPr>
    </xdr:sp>
    <xdr:clientData/>
  </xdr:twoCellAnchor>
  <xdr:twoCellAnchor>
    <xdr:from>
      <xdr:col>11</xdr:col>
      <xdr:colOff>95250</xdr:colOff>
      <xdr:row>16</xdr:row>
      <xdr:rowOff>85725</xdr:rowOff>
    </xdr:from>
    <xdr:to>
      <xdr:col>11</xdr:col>
      <xdr:colOff>95250</xdr:colOff>
      <xdr:row>17</xdr:row>
      <xdr:rowOff>161925</xdr:rowOff>
    </xdr:to>
    <xdr:sp macro="" textlink="">
      <xdr:nvSpPr>
        <xdr:cNvPr id="565566" name="Line 43">
          <a:extLst>
            <a:ext uri="{FF2B5EF4-FFF2-40B4-BE49-F238E27FC236}">
              <a16:creationId xmlns:a16="http://schemas.microsoft.com/office/drawing/2014/main" id="{BD6E81EE-DDFE-47A5-9DFC-19B147E1C635}"/>
            </a:ext>
          </a:extLst>
        </xdr:cNvPr>
        <xdr:cNvSpPr>
          <a:spLocks noChangeShapeType="1"/>
        </xdr:cNvSpPr>
      </xdr:nvSpPr>
      <xdr:spPr bwMode="auto">
        <a:xfrm>
          <a:off x="7048500" y="2990850"/>
          <a:ext cx="0" cy="2476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13</xdr:col>
      <xdr:colOff>866775</xdr:colOff>
      <xdr:row>8</xdr:row>
      <xdr:rowOff>0</xdr:rowOff>
    </xdr:from>
    <xdr:to>
      <xdr:col>13</xdr:col>
      <xdr:colOff>866775</xdr:colOff>
      <xdr:row>11</xdr:row>
      <xdr:rowOff>9525</xdr:rowOff>
    </xdr:to>
    <xdr:sp macro="" textlink="">
      <xdr:nvSpPr>
        <xdr:cNvPr id="565567" name="Line 45">
          <a:extLst>
            <a:ext uri="{FF2B5EF4-FFF2-40B4-BE49-F238E27FC236}">
              <a16:creationId xmlns:a16="http://schemas.microsoft.com/office/drawing/2014/main" id="{A52B97D2-949B-4FF2-A1AC-085F50161270}"/>
            </a:ext>
          </a:extLst>
        </xdr:cNvPr>
        <xdr:cNvSpPr>
          <a:spLocks noChangeShapeType="1"/>
        </xdr:cNvSpPr>
      </xdr:nvSpPr>
      <xdr:spPr bwMode="auto">
        <a:xfrm flipV="1">
          <a:off x="9115425" y="1533525"/>
          <a:ext cx="0" cy="5238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266700</xdr:colOff>
      <xdr:row>9</xdr:row>
      <xdr:rowOff>142875</xdr:rowOff>
    </xdr:from>
    <xdr:to>
      <xdr:col>18</xdr:col>
      <xdr:colOff>342900</xdr:colOff>
      <xdr:row>9</xdr:row>
      <xdr:rowOff>142875</xdr:rowOff>
    </xdr:to>
    <xdr:sp macro="" textlink="">
      <xdr:nvSpPr>
        <xdr:cNvPr id="565568" name="Line 46">
          <a:extLst>
            <a:ext uri="{FF2B5EF4-FFF2-40B4-BE49-F238E27FC236}">
              <a16:creationId xmlns:a16="http://schemas.microsoft.com/office/drawing/2014/main" id="{90D539DA-5B99-4DEE-98E5-E4A7FA3A3C78}"/>
            </a:ext>
          </a:extLst>
        </xdr:cNvPr>
        <xdr:cNvSpPr>
          <a:spLocks noChangeShapeType="1"/>
        </xdr:cNvSpPr>
      </xdr:nvSpPr>
      <xdr:spPr bwMode="auto">
        <a:xfrm>
          <a:off x="7905750" y="1847850"/>
          <a:ext cx="5600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228600</xdr:colOff>
      <xdr:row>14</xdr:row>
      <xdr:rowOff>9525</xdr:rowOff>
    </xdr:from>
    <xdr:to>
      <xdr:col>12</xdr:col>
      <xdr:colOff>228600</xdr:colOff>
      <xdr:row>19</xdr:row>
      <xdr:rowOff>152400</xdr:rowOff>
    </xdr:to>
    <xdr:sp macro="" textlink="">
      <xdr:nvSpPr>
        <xdr:cNvPr id="565569" name="Line 47">
          <a:extLst>
            <a:ext uri="{FF2B5EF4-FFF2-40B4-BE49-F238E27FC236}">
              <a16:creationId xmlns:a16="http://schemas.microsoft.com/office/drawing/2014/main" id="{380E3776-AFFC-4C69-ABB8-134C27D811D8}"/>
            </a:ext>
          </a:extLst>
        </xdr:cNvPr>
        <xdr:cNvSpPr>
          <a:spLocks noChangeShapeType="1"/>
        </xdr:cNvSpPr>
      </xdr:nvSpPr>
      <xdr:spPr bwMode="auto">
        <a:xfrm flipH="1">
          <a:off x="7867650" y="2571750"/>
          <a:ext cx="0" cy="10096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304800</xdr:colOff>
      <xdr:row>20</xdr:row>
      <xdr:rowOff>161925</xdr:rowOff>
    </xdr:from>
    <xdr:to>
      <xdr:col>11</xdr:col>
      <xdr:colOff>304800</xdr:colOff>
      <xdr:row>22</xdr:row>
      <xdr:rowOff>0</xdr:rowOff>
    </xdr:to>
    <xdr:sp macro="" textlink="">
      <xdr:nvSpPr>
        <xdr:cNvPr id="565570" name="Line 48">
          <a:extLst>
            <a:ext uri="{FF2B5EF4-FFF2-40B4-BE49-F238E27FC236}">
              <a16:creationId xmlns:a16="http://schemas.microsoft.com/office/drawing/2014/main" id="{CA4D511B-FE28-4A8B-81C1-1107BEC5C70E}"/>
            </a:ext>
          </a:extLst>
        </xdr:cNvPr>
        <xdr:cNvSpPr>
          <a:spLocks noChangeShapeType="1"/>
        </xdr:cNvSpPr>
      </xdr:nvSpPr>
      <xdr:spPr bwMode="auto">
        <a:xfrm>
          <a:off x="7258050" y="3762375"/>
          <a:ext cx="0" cy="1809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295275</xdr:colOff>
      <xdr:row>19</xdr:row>
      <xdr:rowOff>0</xdr:rowOff>
    </xdr:from>
    <xdr:to>
      <xdr:col>10</xdr:col>
      <xdr:colOff>295275</xdr:colOff>
      <xdr:row>22</xdr:row>
      <xdr:rowOff>0</xdr:rowOff>
    </xdr:to>
    <xdr:sp macro="" textlink="">
      <xdr:nvSpPr>
        <xdr:cNvPr id="565571" name="Line 49">
          <a:extLst>
            <a:ext uri="{FF2B5EF4-FFF2-40B4-BE49-F238E27FC236}">
              <a16:creationId xmlns:a16="http://schemas.microsoft.com/office/drawing/2014/main" id="{2215F530-BFB7-445F-B4A9-4EFE1F2BDAE8}"/>
            </a:ext>
          </a:extLst>
        </xdr:cNvPr>
        <xdr:cNvSpPr>
          <a:spLocks noChangeShapeType="1"/>
        </xdr:cNvSpPr>
      </xdr:nvSpPr>
      <xdr:spPr bwMode="auto">
        <a:xfrm>
          <a:off x="6638925" y="3429000"/>
          <a:ext cx="0" cy="5143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18</xdr:col>
      <xdr:colOff>342900</xdr:colOff>
      <xdr:row>9</xdr:row>
      <xdr:rowOff>142875</xdr:rowOff>
    </xdr:from>
    <xdr:to>
      <xdr:col>18</xdr:col>
      <xdr:colOff>352425</xdr:colOff>
      <xdr:row>12</xdr:row>
      <xdr:rowOff>9525</xdr:rowOff>
    </xdr:to>
    <xdr:sp macro="" textlink="">
      <xdr:nvSpPr>
        <xdr:cNvPr id="565572" name="Line 51">
          <a:extLst>
            <a:ext uri="{FF2B5EF4-FFF2-40B4-BE49-F238E27FC236}">
              <a16:creationId xmlns:a16="http://schemas.microsoft.com/office/drawing/2014/main" id="{9FC8F1F4-F800-4771-886B-46C1940D3AB7}"/>
            </a:ext>
          </a:extLst>
        </xdr:cNvPr>
        <xdr:cNvSpPr>
          <a:spLocks noChangeShapeType="1"/>
        </xdr:cNvSpPr>
      </xdr:nvSpPr>
      <xdr:spPr bwMode="auto">
        <a:xfrm>
          <a:off x="13506450" y="1847850"/>
          <a:ext cx="9525" cy="381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323850</xdr:colOff>
      <xdr:row>14</xdr:row>
      <xdr:rowOff>28575</xdr:rowOff>
    </xdr:from>
    <xdr:to>
      <xdr:col>18</xdr:col>
      <xdr:colOff>323850</xdr:colOff>
      <xdr:row>16</xdr:row>
      <xdr:rowOff>161925</xdr:rowOff>
    </xdr:to>
    <xdr:sp macro="" textlink="">
      <xdr:nvSpPr>
        <xdr:cNvPr id="565573" name="Line 54">
          <a:extLst>
            <a:ext uri="{FF2B5EF4-FFF2-40B4-BE49-F238E27FC236}">
              <a16:creationId xmlns:a16="http://schemas.microsoft.com/office/drawing/2014/main" id="{100E2C0B-52DE-428E-976F-AE8F3B1B413C}"/>
            </a:ext>
          </a:extLst>
        </xdr:cNvPr>
        <xdr:cNvSpPr>
          <a:spLocks noChangeShapeType="1"/>
        </xdr:cNvSpPr>
      </xdr:nvSpPr>
      <xdr:spPr bwMode="auto">
        <a:xfrm flipV="1">
          <a:off x="13487400" y="2590800"/>
          <a:ext cx="0" cy="476250"/>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19</xdr:col>
      <xdr:colOff>314325</xdr:colOff>
      <xdr:row>16</xdr:row>
      <xdr:rowOff>95250</xdr:rowOff>
    </xdr:from>
    <xdr:to>
      <xdr:col>19</xdr:col>
      <xdr:colOff>314325</xdr:colOff>
      <xdr:row>19</xdr:row>
      <xdr:rowOff>133350</xdr:rowOff>
    </xdr:to>
    <xdr:sp macro="" textlink="">
      <xdr:nvSpPr>
        <xdr:cNvPr id="565574" name="Line 56">
          <a:extLst>
            <a:ext uri="{FF2B5EF4-FFF2-40B4-BE49-F238E27FC236}">
              <a16:creationId xmlns:a16="http://schemas.microsoft.com/office/drawing/2014/main" id="{61E4841F-60A4-4316-806E-DB76395B2F5B}"/>
            </a:ext>
          </a:extLst>
        </xdr:cNvPr>
        <xdr:cNvSpPr>
          <a:spLocks noChangeShapeType="1"/>
        </xdr:cNvSpPr>
      </xdr:nvSpPr>
      <xdr:spPr bwMode="auto">
        <a:xfrm>
          <a:off x="14297025" y="3000375"/>
          <a:ext cx="0" cy="5619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314325</xdr:colOff>
      <xdr:row>18</xdr:row>
      <xdr:rowOff>19050</xdr:rowOff>
    </xdr:from>
    <xdr:to>
      <xdr:col>17</xdr:col>
      <xdr:colOff>314325</xdr:colOff>
      <xdr:row>22</xdr:row>
      <xdr:rowOff>0</xdr:rowOff>
    </xdr:to>
    <xdr:sp macro="" textlink="">
      <xdr:nvSpPr>
        <xdr:cNvPr id="565575" name="Line 57">
          <a:extLst>
            <a:ext uri="{FF2B5EF4-FFF2-40B4-BE49-F238E27FC236}">
              <a16:creationId xmlns:a16="http://schemas.microsoft.com/office/drawing/2014/main" id="{E7EB89E8-EB35-4B4B-A327-4D95AAC6943A}"/>
            </a:ext>
          </a:extLst>
        </xdr:cNvPr>
        <xdr:cNvSpPr>
          <a:spLocks noChangeShapeType="1"/>
        </xdr:cNvSpPr>
      </xdr:nvSpPr>
      <xdr:spPr bwMode="auto">
        <a:xfrm>
          <a:off x="12868275" y="3267075"/>
          <a:ext cx="0" cy="6762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19</xdr:col>
      <xdr:colOff>0</xdr:colOff>
      <xdr:row>21</xdr:row>
      <xdr:rowOff>0</xdr:rowOff>
    </xdr:from>
    <xdr:to>
      <xdr:col>19</xdr:col>
      <xdr:colOff>0</xdr:colOff>
      <xdr:row>21</xdr:row>
      <xdr:rowOff>161925</xdr:rowOff>
    </xdr:to>
    <xdr:sp macro="" textlink="">
      <xdr:nvSpPr>
        <xdr:cNvPr id="565576" name="Line 58">
          <a:extLst>
            <a:ext uri="{FF2B5EF4-FFF2-40B4-BE49-F238E27FC236}">
              <a16:creationId xmlns:a16="http://schemas.microsoft.com/office/drawing/2014/main" id="{3E3566E0-7555-43BB-AA74-9DB3D4775E83}"/>
            </a:ext>
          </a:extLst>
        </xdr:cNvPr>
        <xdr:cNvSpPr>
          <a:spLocks noChangeShapeType="1"/>
        </xdr:cNvSpPr>
      </xdr:nvSpPr>
      <xdr:spPr bwMode="auto">
        <a:xfrm>
          <a:off x="13982700" y="3771900"/>
          <a:ext cx="0" cy="1619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276225</xdr:colOff>
      <xdr:row>15</xdr:row>
      <xdr:rowOff>142875</xdr:rowOff>
    </xdr:from>
    <xdr:to>
      <xdr:col>22</xdr:col>
      <xdr:colOff>276225</xdr:colOff>
      <xdr:row>18</xdr:row>
      <xdr:rowOff>0</xdr:rowOff>
    </xdr:to>
    <xdr:sp macro="" textlink="">
      <xdr:nvSpPr>
        <xdr:cNvPr id="565577" name="Line 59">
          <a:extLst>
            <a:ext uri="{FF2B5EF4-FFF2-40B4-BE49-F238E27FC236}">
              <a16:creationId xmlns:a16="http://schemas.microsoft.com/office/drawing/2014/main" id="{5DC633AE-D60A-4A7D-9DA5-824125CEF552}"/>
            </a:ext>
          </a:extLst>
        </xdr:cNvPr>
        <xdr:cNvSpPr>
          <a:spLocks noChangeShapeType="1"/>
        </xdr:cNvSpPr>
      </xdr:nvSpPr>
      <xdr:spPr bwMode="auto">
        <a:xfrm>
          <a:off x="16202025" y="2876550"/>
          <a:ext cx="0"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561975</xdr:colOff>
      <xdr:row>11</xdr:row>
      <xdr:rowOff>47625</xdr:rowOff>
    </xdr:from>
    <xdr:to>
      <xdr:col>12</xdr:col>
      <xdr:colOff>495300</xdr:colOff>
      <xdr:row>15</xdr:row>
      <xdr:rowOff>9525</xdr:rowOff>
    </xdr:to>
    <xdr:sp macro="" textlink="">
      <xdr:nvSpPr>
        <xdr:cNvPr id="565578" name="AutoShape 60">
          <a:extLst>
            <a:ext uri="{FF2B5EF4-FFF2-40B4-BE49-F238E27FC236}">
              <a16:creationId xmlns:a16="http://schemas.microsoft.com/office/drawing/2014/main" id="{273B0E05-53F6-4076-8582-7720F267A2FC}"/>
            </a:ext>
          </a:extLst>
        </xdr:cNvPr>
        <xdr:cNvSpPr>
          <a:spLocks noChangeArrowheads="1"/>
        </xdr:cNvSpPr>
      </xdr:nvSpPr>
      <xdr:spPr bwMode="auto">
        <a:xfrm rot="5400000">
          <a:off x="7500938" y="2109787"/>
          <a:ext cx="647700" cy="619125"/>
        </a:xfrm>
        <a:prstGeom prst="triangle">
          <a:avLst>
            <a:gd name="adj" fmla="val 50000"/>
          </a:avLst>
        </a:prstGeom>
        <a:solidFill>
          <a:srgbClr val="00FFFF"/>
        </a:solidFill>
        <a:ln w="9525">
          <a:solidFill>
            <a:srgbClr val="000000"/>
          </a:solidFill>
          <a:miter lim="800000"/>
          <a:headEnd/>
          <a:tailEnd/>
        </a:ln>
      </xdr:spPr>
    </xdr:sp>
    <xdr:clientData/>
  </xdr:twoCellAnchor>
  <xdr:twoCellAnchor>
    <xdr:from>
      <xdr:col>12</xdr:col>
      <xdr:colOff>266700</xdr:colOff>
      <xdr:row>9</xdr:row>
      <xdr:rowOff>161925</xdr:rowOff>
    </xdr:from>
    <xdr:to>
      <xdr:col>12</xdr:col>
      <xdr:colOff>266700</xdr:colOff>
      <xdr:row>12</xdr:row>
      <xdr:rowOff>57150</xdr:rowOff>
    </xdr:to>
    <xdr:sp macro="" textlink="">
      <xdr:nvSpPr>
        <xdr:cNvPr id="565579" name="Line 62">
          <a:extLst>
            <a:ext uri="{FF2B5EF4-FFF2-40B4-BE49-F238E27FC236}">
              <a16:creationId xmlns:a16="http://schemas.microsoft.com/office/drawing/2014/main" id="{53362038-3AF1-40DF-BB4E-17E47385D7AF}"/>
            </a:ext>
          </a:extLst>
        </xdr:cNvPr>
        <xdr:cNvSpPr>
          <a:spLocks noChangeShapeType="1"/>
        </xdr:cNvSpPr>
      </xdr:nvSpPr>
      <xdr:spPr bwMode="auto">
        <a:xfrm>
          <a:off x="7905750" y="1866900"/>
          <a:ext cx="0" cy="4095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381000</xdr:colOff>
      <xdr:row>14</xdr:row>
      <xdr:rowOff>19050</xdr:rowOff>
    </xdr:from>
    <xdr:to>
      <xdr:col>23</xdr:col>
      <xdr:colOff>381000</xdr:colOff>
      <xdr:row>20</xdr:row>
      <xdr:rowOff>0</xdr:rowOff>
    </xdr:to>
    <xdr:sp macro="" textlink="">
      <xdr:nvSpPr>
        <xdr:cNvPr id="565580" name="Line 63">
          <a:extLst>
            <a:ext uri="{FF2B5EF4-FFF2-40B4-BE49-F238E27FC236}">
              <a16:creationId xmlns:a16="http://schemas.microsoft.com/office/drawing/2014/main" id="{3DE98049-E91B-49F5-BA8D-1AF5992844CF}"/>
            </a:ext>
          </a:extLst>
        </xdr:cNvPr>
        <xdr:cNvSpPr>
          <a:spLocks noChangeShapeType="1"/>
        </xdr:cNvSpPr>
      </xdr:nvSpPr>
      <xdr:spPr bwMode="auto">
        <a:xfrm>
          <a:off x="17021175" y="2581275"/>
          <a:ext cx="0" cy="10191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23</xdr:col>
      <xdr:colOff>0</xdr:colOff>
      <xdr:row>8</xdr:row>
      <xdr:rowOff>161925</xdr:rowOff>
    </xdr:from>
    <xdr:to>
      <xdr:col>23</xdr:col>
      <xdr:colOff>0</xdr:colOff>
      <xdr:row>12</xdr:row>
      <xdr:rowOff>161925</xdr:rowOff>
    </xdr:to>
    <xdr:sp macro="" textlink="">
      <xdr:nvSpPr>
        <xdr:cNvPr id="565581" name="Line 64">
          <a:extLst>
            <a:ext uri="{FF2B5EF4-FFF2-40B4-BE49-F238E27FC236}">
              <a16:creationId xmlns:a16="http://schemas.microsoft.com/office/drawing/2014/main" id="{29105C01-1EAD-4E20-A0D5-1F3D236DDC11}"/>
            </a:ext>
          </a:extLst>
        </xdr:cNvPr>
        <xdr:cNvSpPr>
          <a:spLocks noChangeShapeType="1"/>
        </xdr:cNvSpPr>
      </xdr:nvSpPr>
      <xdr:spPr bwMode="auto">
        <a:xfrm flipV="1">
          <a:off x="16640175" y="1695450"/>
          <a:ext cx="0" cy="6858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23</xdr:col>
      <xdr:colOff>0</xdr:colOff>
      <xdr:row>21</xdr:row>
      <xdr:rowOff>0</xdr:rowOff>
    </xdr:from>
    <xdr:to>
      <xdr:col>23</xdr:col>
      <xdr:colOff>0</xdr:colOff>
      <xdr:row>21</xdr:row>
      <xdr:rowOff>161925</xdr:rowOff>
    </xdr:to>
    <xdr:sp macro="" textlink="">
      <xdr:nvSpPr>
        <xdr:cNvPr id="565582" name="Line 65">
          <a:extLst>
            <a:ext uri="{FF2B5EF4-FFF2-40B4-BE49-F238E27FC236}">
              <a16:creationId xmlns:a16="http://schemas.microsoft.com/office/drawing/2014/main" id="{8541F441-0F85-4D63-A7CC-EB1FBDE31B35}"/>
            </a:ext>
          </a:extLst>
        </xdr:cNvPr>
        <xdr:cNvSpPr>
          <a:spLocks noChangeShapeType="1"/>
        </xdr:cNvSpPr>
      </xdr:nvSpPr>
      <xdr:spPr bwMode="auto">
        <a:xfrm>
          <a:off x="16640175" y="3771900"/>
          <a:ext cx="0" cy="1619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21</xdr:col>
      <xdr:colOff>304800</xdr:colOff>
      <xdr:row>19</xdr:row>
      <xdr:rowOff>0</xdr:rowOff>
    </xdr:from>
    <xdr:to>
      <xdr:col>21</xdr:col>
      <xdr:colOff>304800</xdr:colOff>
      <xdr:row>22</xdr:row>
      <xdr:rowOff>76200</xdr:rowOff>
    </xdr:to>
    <xdr:sp macro="" textlink="">
      <xdr:nvSpPr>
        <xdr:cNvPr id="565583" name="Line 66">
          <a:extLst>
            <a:ext uri="{FF2B5EF4-FFF2-40B4-BE49-F238E27FC236}">
              <a16:creationId xmlns:a16="http://schemas.microsoft.com/office/drawing/2014/main" id="{3AE61E63-2337-4C40-ADF9-FD0A1D3A9352}"/>
            </a:ext>
          </a:extLst>
        </xdr:cNvPr>
        <xdr:cNvSpPr>
          <a:spLocks noChangeShapeType="1"/>
        </xdr:cNvSpPr>
      </xdr:nvSpPr>
      <xdr:spPr bwMode="auto">
        <a:xfrm>
          <a:off x="15621000" y="3429000"/>
          <a:ext cx="0" cy="5905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304800</xdr:colOff>
      <xdr:row>22</xdr:row>
      <xdr:rowOff>85725</xdr:rowOff>
    </xdr:from>
    <xdr:to>
      <xdr:col>21</xdr:col>
      <xdr:colOff>600075</xdr:colOff>
      <xdr:row>22</xdr:row>
      <xdr:rowOff>85725</xdr:rowOff>
    </xdr:to>
    <xdr:sp macro="" textlink="">
      <xdr:nvSpPr>
        <xdr:cNvPr id="565584" name="Line 67">
          <a:extLst>
            <a:ext uri="{FF2B5EF4-FFF2-40B4-BE49-F238E27FC236}">
              <a16:creationId xmlns:a16="http://schemas.microsoft.com/office/drawing/2014/main" id="{4885C509-EE3B-400C-829B-128E06278296}"/>
            </a:ext>
          </a:extLst>
        </xdr:cNvPr>
        <xdr:cNvSpPr>
          <a:spLocks noChangeShapeType="1"/>
        </xdr:cNvSpPr>
      </xdr:nvSpPr>
      <xdr:spPr bwMode="auto">
        <a:xfrm>
          <a:off x="15621000" y="4029075"/>
          <a:ext cx="2952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342900</xdr:colOff>
      <xdr:row>9</xdr:row>
      <xdr:rowOff>0</xdr:rowOff>
    </xdr:from>
    <xdr:to>
      <xdr:col>11</xdr:col>
      <xdr:colOff>342900</xdr:colOff>
      <xdr:row>12</xdr:row>
      <xdr:rowOff>152400</xdr:rowOff>
    </xdr:to>
    <xdr:sp macro="" textlink="">
      <xdr:nvSpPr>
        <xdr:cNvPr id="565585" name="Line 68">
          <a:extLst>
            <a:ext uri="{FF2B5EF4-FFF2-40B4-BE49-F238E27FC236}">
              <a16:creationId xmlns:a16="http://schemas.microsoft.com/office/drawing/2014/main" id="{00BB462E-BC10-41F4-AE64-AD8A53FAC72A}"/>
            </a:ext>
          </a:extLst>
        </xdr:cNvPr>
        <xdr:cNvSpPr>
          <a:spLocks noChangeShapeType="1"/>
        </xdr:cNvSpPr>
      </xdr:nvSpPr>
      <xdr:spPr bwMode="auto">
        <a:xfrm flipV="1">
          <a:off x="7296150" y="1704975"/>
          <a:ext cx="0" cy="6667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533400</xdr:colOff>
      <xdr:row>13</xdr:row>
      <xdr:rowOff>28575</xdr:rowOff>
    </xdr:from>
    <xdr:to>
      <xdr:col>12</xdr:col>
      <xdr:colOff>533400</xdr:colOff>
      <xdr:row>19</xdr:row>
      <xdr:rowOff>152400</xdr:rowOff>
    </xdr:to>
    <xdr:sp macro="" textlink="">
      <xdr:nvSpPr>
        <xdr:cNvPr id="565586" name="Line 69">
          <a:extLst>
            <a:ext uri="{FF2B5EF4-FFF2-40B4-BE49-F238E27FC236}">
              <a16:creationId xmlns:a16="http://schemas.microsoft.com/office/drawing/2014/main" id="{3EA9EDCE-3135-456B-BC9B-6004C1C2B042}"/>
            </a:ext>
          </a:extLst>
        </xdr:cNvPr>
        <xdr:cNvSpPr>
          <a:spLocks noChangeShapeType="1"/>
        </xdr:cNvSpPr>
      </xdr:nvSpPr>
      <xdr:spPr bwMode="auto">
        <a:xfrm>
          <a:off x="8172450" y="2419350"/>
          <a:ext cx="0" cy="116205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12</xdr:col>
      <xdr:colOff>533400</xdr:colOff>
      <xdr:row>21</xdr:row>
      <xdr:rowOff>9525</xdr:rowOff>
    </xdr:from>
    <xdr:to>
      <xdr:col>12</xdr:col>
      <xdr:colOff>533400</xdr:colOff>
      <xdr:row>26</xdr:row>
      <xdr:rowOff>0</xdr:rowOff>
    </xdr:to>
    <xdr:sp macro="" textlink="">
      <xdr:nvSpPr>
        <xdr:cNvPr id="565587" name="Line 70">
          <a:extLst>
            <a:ext uri="{FF2B5EF4-FFF2-40B4-BE49-F238E27FC236}">
              <a16:creationId xmlns:a16="http://schemas.microsoft.com/office/drawing/2014/main" id="{30196D17-F360-48AA-85F6-B9E35113C64C}"/>
            </a:ext>
          </a:extLst>
        </xdr:cNvPr>
        <xdr:cNvSpPr>
          <a:spLocks noChangeShapeType="1"/>
        </xdr:cNvSpPr>
      </xdr:nvSpPr>
      <xdr:spPr bwMode="auto">
        <a:xfrm>
          <a:off x="8172450" y="3781425"/>
          <a:ext cx="0" cy="838200"/>
        </a:xfrm>
        <a:prstGeom prst="line">
          <a:avLst/>
        </a:prstGeom>
        <a:noFill/>
        <a:ln w="9525">
          <a:solidFill>
            <a:srgbClr val="000000"/>
          </a:solidFill>
          <a:prstDash val="dash"/>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24</xdr:col>
      <xdr:colOff>161925</xdr:colOff>
      <xdr:row>13</xdr:row>
      <xdr:rowOff>19050</xdr:rowOff>
    </xdr:from>
    <xdr:to>
      <xdr:col>24</xdr:col>
      <xdr:colOff>161925</xdr:colOff>
      <xdr:row>19</xdr:row>
      <xdr:rowOff>161925</xdr:rowOff>
    </xdr:to>
    <xdr:sp macro="" textlink="">
      <xdr:nvSpPr>
        <xdr:cNvPr id="565588" name="Line 73">
          <a:extLst>
            <a:ext uri="{FF2B5EF4-FFF2-40B4-BE49-F238E27FC236}">
              <a16:creationId xmlns:a16="http://schemas.microsoft.com/office/drawing/2014/main" id="{1AAD2CEC-BF51-4A23-8B20-6B5E3DE826B8}"/>
            </a:ext>
          </a:extLst>
        </xdr:cNvPr>
        <xdr:cNvSpPr>
          <a:spLocks noChangeShapeType="1"/>
        </xdr:cNvSpPr>
      </xdr:nvSpPr>
      <xdr:spPr bwMode="auto">
        <a:xfrm>
          <a:off x="17468850" y="2409825"/>
          <a:ext cx="0" cy="11811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24</xdr:col>
      <xdr:colOff>161925</xdr:colOff>
      <xdr:row>21</xdr:row>
      <xdr:rowOff>0</xdr:rowOff>
    </xdr:from>
    <xdr:to>
      <xdr:col>24</xdr:col>
      <xdr:colOff>161925</xdr:colOff>
      <xdr:row>25</xdr:row>
      <xdr:rowOff>161925</xdr:rowOff>
    </xdr:to>
    <xdr:sp macro="" textlink="">
      <xdr:nvSpPr>
        <xdr:cNvPr id="565589" name="Line 74">
          <a:extLst>
            <a:ext uri="{FF2B5EF4-FFF2-40B4-BE49-F238E27FC236}">
              <a16:creationId xmlns:a16="http://schemas.microsoft.com/office/drawing/2014/main" id="{1E8192AE-983E-406D-86C9-3F6824134C4D}"/>
            </a:ext>
          </a:extLst>
        </xdr:cNvPr>
        <xdr:cNvSpPr>
          <a:spLocks noChangeShapeType="1"/>
        </xdr:cNvSpPr>
      </xdr:nvSpPr>
      <xdr:spPr bwMode="auto">
        <a:xfrm>
          <a:off x="17468850" y="3771900"/>
          <a:ext cx="0" cy="838200"/>
        </a:xfrm>
        <a:prstGeom prst="line">
          <a:avLst/>
        </a:prstGeom>
        <a:noFill/>
        <a:ln w="9525">
          <a:solidFill>
            <a:srgbClr val="000000"/>
          </a:solidFill>
          <a:prstDash val="dash"/>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26</xdr:col>
      <xdr:colOff>333375</xdr:colOff>
      <xdr:row>16</xdr:row>
      <xdr:rowOff>0</xdr:rowOff>
    </xdr:from>
    <xdr:to>
      <xdr:col>26</xdr:col>
      <xdr:colOff>333375</xdr:colOff>
      <xdr:row>25</xdr:row>
      <xdr:rowOff>142875</xdr:rowOff>
    </xdr:to>
    <xdr:sp macro="" textlink="">
      <xdr:nvSpPr>
        <xdr:cNvPr id="565590" name="Line 75">
          <a:extLst>
            <a:ext uri="{FF2B5EF4-FFF2-40B4-BE49-F238E27FC236}">
              <a16:creationId xmlns:a16="http://schemas.microsoft.com/office/drawing/2014/main" id="{E85B980B-93D2-41AA-937F-013BF0D869D8}"/>
            </a:ext>
          </a:extLst>
        </xdr:cNvPr>
        <xdr:cNvSpPr>
          <a:spLocks noChangeShapeType="1"/>
        </xdr:cNvSpPr>
      </xdr:nvSpPr>
      <xdr:spPr bwMode="auto">
        <a:xfrm>
          <a:off x="18859500" y="2905125"/>
          <a:ext cx="0" cy="1685925"/>
        </a:xfrm>
        <a:prstGeom prst="line">
          <a:avLst/>
        </a:prstGeom>
        <a:noFill/>
        <a:ln w="9525">
          <a:solidFill>
            <a:srgbClr val="000000"/>
          </a:solidFill>
          <a:prstDash val="dash"/>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25</xdr:col>
      <xdr:colOff>466725</xdr:colOff>
      <xdr:row>13</xdr:row>
      <xdr:rowOff>9525</xdr:rowOff>
    </xdr:from>
    <xdr:to>
      <xdr:col>26</xdr:col>
      <xdr:colOff>342900</xdr:colOff>
      <xdr:row>16</xdr:row>
      <xdr:rowOff>9525</xdr:rowOff>
    </xdr:to>
    <xdr:sp macro="" textlink="">
      <xdr:nvSpPr>
        <xdr:cNvPr id="565591" name="Line 76">
          <a:extLst>
            <a:ext uri="{FF2B5EF4-FFF2-40B4-BE49-F238E27FC236}">
              <a16:creationId xmlns:a16="http://schemas.microsoft.com/office/drawing/2014/main" id="{8931618D-AB84-4575-BF75-60EF4013DE26}"/>
            </a:ext>
          </a:extLst>
        </xdr:cNvPr>
        <xdr:cNvSpPr>
          <a:spLocks noChangeShapeType="1"/>
        </xdr:cNvSpPr>
      </xdr:nvSpPr>
      <xdr:spPr bwMode="auto">
        <a:xfrm>
          <a:off x="18383250" y="2400300"/>
          <a:ext cx="485775" cy="51435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oneCellAnchor>
    <xdr:from>
      <xdr:col>4</xdr:col>
      <xdr:colOff>80993</xdr:colOff>
      <xdr:row>11</xdr:row>
      <xdr:rowOff>76200</xdr:rowOff>
    </xdr:from>
    <xdr:ext cx="581280" cy="503513"/>
    <xdr:sp macro="" textlink="">
      <xdr:nvSpPr>
        <xdr:cNvPr id="65" name="Text Box 78">
          <a:extLst>
            <a:ext uri="{FF2B5EF4-FFF2-40B4-BE49-F238E27FC236}">
              <a16:creationId xmlns:a16="http://schemas.microsoft.com/office/drawing/2014/main" id="{95FB456A-5A4E-44E0-83D4-443552E35BC1}"/>
            </a:ext>
          </a:extLst>
        </xdr:cNvPr>
        <xdr:cNvSpPr txBox="1">
          <a:spLocks noChangeArrowheads="1"/>
        </xdr:cNvSpPr>
      </xdr:nvSpPr>
      <xdr:spPr bwMode="auto">
        <a:xfrm>
          <a:off x="2519393" y="2124075"/>
          <a:ext cx="571438" cy="465512"/>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US" sz="1000" b="1" i="0" strike="noStrike">
              <a:solidFill>
                <a:srgbClr val="000000"/>
              </a:solidFill>
              <a:latin typeface="Arial"/>
              <a:cs typeface="Arial"/>
            </a:rPr>
            <a:t>User</a:t>
          </a:r>
        </a:p>
        <a:p>
          <a:pPr algn="ctr" rtl="0">
            <a:defRPr sz="1000"/>
          </a:pPr>
          <a:r>
            <a:rPr lang="en-US" sz="1000" b="1" i="0" strike="noStrike">
              <a:solidFill>
                <a:srgbClr val="000000"/>
              </a:solidFill>
              <a:latin typeface="Arial"/>
              <a:cs typeface="Arial"/>
            </a:rPr>
            <a:t>Xmit</a:t>
          </a:r>
        </a:p>
        <a:p>
          <a:pPr algn="ctr" rtl="0">
            <a:defRPr sz="1000"/>
          </a:pPr>
          <a:r>
            <a:rPr lang="en-US" sz="1000" b="1" i="0" strike="noStrike">
              <a:solidFill>
                <a:srgbClr val="000000"/>
              </a:solidFill>
              <a:latin typeface="Arial"/>
              <a:cs typeface="Arial"/>
            </a:rPr>
            <a:t>Terminal</a:t>
          </a:r>
        </a:p>
      </xdr:txBody>
    </xdr:sp>
    <xdr:clientData/>
  </xdr:oneCellAnchor>
  <xdr:oneCellAnchor>
    <xdr:from>
      <xdr:col>5</xdr:col>
      <xdr:colOff>228600</xdr:colOff>
      <xdr:row>12</xdr:row>
      <xdr:rowOff>66675</xdr:rowOff>
    </xdr:from>
    <xdr:ext cx="289182" cy="170560"/>
    <xdr:sp macro="" textlink="">
      <xdr:nvSpPr>
        <xdr:cNvPr id="66" name="Text Box 79">
          <a:extLst>
            <a:ext uri="{FF2B5EF4-FFF2-40B4-BE49-F238E27FC236}">
              <a16:creationId xmlns:a16="http://schemas.microsoft.com/office/drawing/2014/main" id="{BD600000-A379-4DF6-B1AB-DCC78BF2A5B0}"/>
            </a:ext>
          </a:extLst>
        </xdr:cNvPr>
        <xdr:cNvSpPr txBox="1">
          <a:spLocks noChangeArrowheads="1"/>
        </xdr:cNvSpPr>
      </xdr:nvSpPr>
      <xdr:spPr bwMode="auto">
        <a:xfrm>
          <a:off x="3409950" y="2286000"/>
          <a:ext cx="28918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HPA</a:t>
          </a:r>
        </a:p>
      </xdr:txBody>
    </xdr:sp>
    <xdr:clientData/>
  </xdr:oneCellAnchor>
  <xdr:oneCellAnchor>
    <xdr:from>
      <xdr:col>11</xdr:col>
      <xdr:colOff>609600</xdr:colOff>
      <xdr:row>12</xdr:row>
      <xdr:rowOff>104775</xdr:rowOff>
    </xdr:from>
    <xdr:ext cx="282000" cy="170560"/>
    <xdr:sp macro="" textlink="">
      <xdr:nvSpPr>
        <xdr:cNvPr id="67" name="Text Box 80">
          <a:extLst>
            <a:ext uri="{FF2B5EF4-FFF2-40B4-BE49-F238E27FC236}">
              <a16:creationId xmlns:a16="http://schemas.microsoft.com/office/drawing/2014/main" id="{BC2D336E-280C-4C02-8572-6F93C9835CCB}"/>
            </a:ext>
          </a:extLst>
        </xdr:cNvPr>
        <xdr:cNvSpPr txBox="1">
          <a:spLocks noChangeArrowheads="1"/>
        </xdr:cNvSpPr>
      </xdr:nvSpPr>
      <xdr:spPr bwMode="auto">
        <a:xfrm>
          <a:off x="7562850" y="2324100"/>
          <a:ext cx="282000"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LNA</a:t>
          </a:r>
        </a:p>
      </xdr:txBody>
    </xdr:sp>
    <xdr:clientData/>
  </xdr:oneCellAnchor>
  <xdr:oneCellAnchor>
    <xdr:from>
      <xdr:col>18</xdr:col>
      <xdr:colOff>114300</xdr:colOff>
      <xdr:row>12</xdr:row>
      <xdr:rowOff>104775</xdr:rowOff>
    </xdr:from>
    <xdr:ext cx="289182" cy="170560"/>
    <xdr:sp macro="" textlink="">
      <xdr:nvSpPr>
        <xdr:cNvPr id="68" name="Text Box 81">
          <a:extLst>
            <a:ext uri="{FF2B5EF4-FFF2-40B4-BE49-F238E27FC236}">
              <a16:creationId xmlns:a16="http://schemas.microsoft.com/office/drawing/2014/main" id="{02321FFB-BF68-44E1-805F-FB6E4ADD15D8}"/>
            </a:ext>
          </a:extLst>
        </xdr:cNvPr>
        <xdr:cNvSpPr txBox="1">
          <a:spLocks noChangeArrowheads="1"/>
        </xdr:cNvSpPr>
      </xdr:nvSpPr>
      <xdr:spPr bwMode="auto">
        <a:xfrm>
          <a:off x="13277850" y="2324100"/>
          <a:ext cx="28918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HPA</a:t>
          </a:r>
        </a:p>
      </xdr:txBody>
    </xdr:sp>
    <xdr:clientData/>
  </xdr:oneCellAnchor>
  <xdr:oneCellAnchor>
    <xdr:from>
      <xdr:col>23</xdr:col>
      <xdr:colOff>190500</xdr:colOff>
      <xdr:row>12</xdr:row>
      <xdr:rowOff>76200</xdr:rowOff>
    </xdr:from>
    <xdr:ext cx="282000" cy="170560"/>
    <xdr:sp macro="" textlink="">
      <xdr:nvSpPr>
        <xdr:cNvPr id="70" name="Text Box 84">
          <a:extLst>
            <a:ext uri="{FF2B5EF4-FFF2-40B4-BE49-F238E27FC236}">
              <a16:creationId xmlns:a16="http://schemas.microsoft.com/office/drawing/2014/main" id="{60121E32-6F77-4D32-B342-B608C668CF5B}"/>
            </a:ext>
          </a:extLst>
        </xdr:cNvPr>
        <xdr:cNvSpPr txBox="1">
          <a:spLocks noChangeArrowheads="1"/>
        </xdr:cNvSpPr>
      </xdr:nvSpPr>
      <xdr:spPr bwMode="auto">
        <a:xfrm>
          <a:off x="16830675" y="2295525"/>
          <a:ext cx="282000"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LNA</a:t>
          </a:r>
        </a:p>
      </xdr:txBody>
    </xdr:sp>
    <xdr:clientData/>
  </xdr:oneCellAnchor>
  <xdr:oneCellAnchor>
    <xdr:from>
      <xdr:col>24</xdr:col>
      <xdr:colOff>309593</xdr:colOff>
      <xdr:row>11</xdr:row>
      <xdr:rowOff>76200</xdr:rowOff>
    </xdr:from>
    <xdr:ext cx="581280" cy="503513"/>
    <xdr:sp macro="" textlink="">
      <xdr:nvSpPr>
        <xdr:cNvPr id="71" name="Text Box 85">
          <a:extLst>
            <a:ext uri="{FF2B5EF4-FFF2-40B4-BE49-F238E27FC236}">
              <a16:creationId xmlns:a16="http://schemas.microsoft.com/office/drawing/2014/main" id="{88453779-E541-457C-8D76-6C6DE8FC83E2}"/>
            </a:ext>
          </a:extLst>
        </xdr:cNvPr>
        <xdr:cNvSpPr txBox="1">
          <a:spLocks noChangeArrowheads="1"/>
        </xdr:cNvSpPr>
      </xdr:nvSpPr>
      <xdr:spPr bwMode="auto">
        <a:xfrm>
          <a:off x="17568893" y="2124075"/>
          <a:ext cx="571438" cy="465512"/>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US" sz="1000" b="1" i="0" strike="noStrike">
              <a:solidFill>
                <a:srgbClr val="000000"/>
              </a:solidFill>
              <a:latin typeface="Arial"/>
              <a:cs typeface="Arial"/>
            </a:rPr>
            <a:t>User</a:t>
          </a:r>
          <a:endParaRPr lang="en-US" sz="1000" b="0" i="0" strike="noStrike">
            <a:solidFill>
              <a:srgbClr val="000000"/>
            </a:solidFill>
            <a:latin typeface="Arial"/>
            <a:cs typeface="Arial"/>
          </a:endParaRPr>
        </a:p>
        <a:p>
          <a:pPr algn="ctr" rtl="0">
            <a:defRPr sz="1000"/>
          </a:pPr>
          <a:r>
            <a:rPr lang="en-US" sz="1000" b="1" i="0" strike="noStrike">
              <a:solidFill>
                <a:srgbClr val="000000"/>
              </a:solidFill>
              <a:latin typeface="Arial"/>
              <a:cs typeface="Arial"/>
            </a:rPr>
            <a:t>Rcvr</a:t>
          </a:r>
          <a:endParaRPr lang="en-US" sz="1000" b="0" i="0" strike="noStrike">
            <a:solidFill>
              <a:srgbClr val="000000"/>
            </a:solidFill>
            <a:latin typeface="Arial"/>
            <a:cs typeface="Arial"/>
          </a:endParaRPr>
        </a:p>
        <a:p>
          <a:pPr algn="ctr" rtl="0">
            <a:defRPr sz="1000"/>
          </a:pPr>
          <a:r>
            <a:rPr lang="en-US" sz="1000" b="1" i="0" strike="noStrike">
              <a:solidFill>
                <a:srgbClr val="000000"/>
              </a:solidFill>
              <a:latin typeface="Arial"/>
              <a:cs typeface="Arial"/>
            </a:rPr>
            <a:t>Terminal</a:t>
          </a:r>
        </a:p>
      </xdr:txBody>
    </xdr:sp>
    <xdr:clientData/>
  </xdr:oneCellAnchor>
  <xdr:oneCellAnchor>
    <xdr:from>
      <xdr:col>4</xdr:col>
      <xdr:colOff>352425</xdr:colOff>
      <xdr:row>4</xdr:row>
      <xdr:rowOff>186265</xdr:rowOff>
    </xdr:from>
    <xdr:ext cx="1352550" cy="180975"/>
    <xdr:sp macro="" textlink="">
      <xdr:nvSpPr>
        <xdr:cNvPr id="385110" name="Text Box 86">
          <a:extLst>
            <a:ext uri="{FF2B5EF4-FFF2-40B4-BE49-F238E27FC236}">
              <a16:creationId xmlns:a16="http://schemas.microsoft.com/office/drawing/2014/main" id="{0A5DC9D9-7C3B-4394-ADEC-0B14BBFB87F9}"/>
            </a:ext>
          </a:extLst>
        </xdr:cNvPr>
        <xdr:cNvSpPr txBox="1">
          <a:spLocks noChangeArrowheads="1"/>
        </xdr:cNvSpPr>
      </xdr:nvSpPr>
      <xdr:spPr bwMode="auto">
        <a:xfrm>
          <a:off x="2807758" y="1107015"/>
          <a:ext cx="1352550" cy="180975"/>
        </a:xfrm>
        <a:prstGeom prst="rect">
          <a:avLst/>
        </a:prstGeom>
        <a:noFill/>
        <a:ln>
          <a:noFill/>
        </a:ln>
      </xdr:spPr>
      <xdr:txBody>
        <a:bodyPr wrap="none" lIns="18288" tIns="22860" rIns="0" bIns="0" anchor="t">
          <a:spAutoFit/>
        </a:bodyPr>
        <a:lstStyle/>
        <a:p>
          <a:pPr algn="ctr" rtl="0">
            <a:defRPr sz="1000"/>
          </a:pPr>
          <a:r>
            <a:rPr lang="en-AU" sz="1000" b="1" i="0" u="none" strike="noStrike" baseline="0">
              <a:solidFill>
                <a:srgbClr val="000000"/>
              </a:solidFill>
              <a:latin typeface="Arial"/>
              <a:cs typeface="Arial"/>
            </a:rPr>
            <a:t>CMD or Data Terminal</a:t>
          </a:r>
          <a:endParaRPr lang="en-AU"/>
        </a:p>
      </xdr:txBody>
    </xdr:sp>
    <xdr:clientData/>
  </xdr:oneCellAnchor>
  <xdr:twoCellAnchor>
    <xdr:from>
      <xdr:col>4</xdr:col>
      <xdr:colOff>0</xdr:colOff>
      <xdr:row>5</xdr:row>
      <xdr:rowOff>0</xdr:rowOff>
    </xdr:from>
    <xdr:to>
      <xdr:col>4</xdr:col>
      <xdr:colOff>0</xdr:colOff>
      <xdr:row>6</xdr:row>
      <xdr:rowOff>0</xdr:rowOff>
    </xdr:to>
    <xdr:sp macro="" textlink="">
      <xdr:nvSpPr>
        <xdr:cNvPr id="565599" name="Line 87">
          <a:extLst>
            <a:ext uri="{FF2B5EF4-FFF2-40B4-BE49-F238E27FC236}">
              <a16:creationId xmlns:a16="http://schemas.microsoft.com/office/drawing/2014/main" id="{ED6ADF65-4BEB-4123-BBBA-C0335835E7A7}"/>
            </a:ext>
          </a:extLst>
        </xdr:cNvPr>
        <xdr:cNvSpPr>
          <a:spLocks noChangeShapeType="1"/>
        </xdr:cNvSpPr>
      </xdr:nvSpPr>
      <xdr:spPr bwMode="auto">
        <a:xfrm flipH="1">
          <a:off x="24384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123825</xdr:colOff>
      <xdr:row>5</xdr:row>
      <xdr:rowOff>0</xdr:rowOff>
    </xdr:from>
    <xdr:to>
      <xdr:col>7</xdr:col>
      <xdr:colOff>123825</xdr:colOff>
      <xdr:row>6</xdr:row>
      <xdr:rowOff>0</xdr:rowOff>
    </xdr:to>
    <xdr:sp macro="" textlink="">
      <xdr:nvSpPr>
        <xdr:cNvPr id="565600" name="Line 88">
          <a:extLst>
            <a:ext uri="{FF2B5EF4-FFF2-40B4-BE49-F238E27FC236}">
              <a16:creationId xmlns:a16="http://schemas.microsoft.com/office/drawing/2014/main" id="{44E7D6AB-1F16-41A6-8E68-9B5E2BC61FCB}"/>
            </a:ext>
          </a:extLst>
        </xdr:cNvPr>
        <xdr:cNvSpPr>
          <a:spLocks noChangeShapeType="1"/>
        </xdr:cNvSpPr>
      </xdr:nvSpPr>
      <xdr:spPr bwMode="auto">
        <a:xfrm>
          <a:off x="45720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457200</xdr:colOff>
      <xdr:row>5</xdr:row>
      <xdr:rowOff>76200</xdr:rowOff>
    </xdr:from>
    <xdr:to>
      <xdr:col>7</xdr:col>
      <xdr:colOff>104775</xdr:colOff>
      <xdr:row>5</xdr:row>
      <xdr:rowOff>76200</xdr:rowOff>
    </xdr:to>
    <xdr:sp macro="" textlink="">
      <xdr:nvSpPr>
        <xdr:cNvPr id="565601" name="Line 89">
          <a:extLst>
            <a:ext uri="{FF2B5EF4-FFF2-40B4-BE49-F238E27FC236}">
              <a16:creationId xmlns:a16="http://schemas.microsoft.com/office/drawing/2014/main" id="{547C05B2-86D0-409C-B298-1F9357CE33DF}"/>
            </a:ext>
          </a:extLst>
        </xdr:cNvPr>
        <xdr:cNvSpPr>
          <a:spLocks noChangeShapeType="1"/>
        </xdr:cNvSpPr>
      </xdr:nvSpPr>
      <xdr:spPr bwMode="auto">
        <a:xfrm>
          <a:off x="4248150" y="1095375"/>
          <a:ext cx="304800"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19050</xdr:colOff>
      <xdr:row>5</xdr:row>
      <xdr:rowOff>76200</xdr:rowOff>
    </xdr:from>
    <xdr:to>
      <xdr:col>4</xdr:col>
      <xdr:colOff>266700</xdr:colOff>
      <xdr:row>5</xdr:row>
      <xdr:rowOff>76200</xdr:rowOff>
    </xdr:to>
    <xdr:sp macro="" textlink="">
      <xdr:nvSpPr>
        <xdr:cNvPr id="565602" name="Line 90">
          <a:extLst>
            <a:ext uri="{FF2B5EF4-FFF2-40B4-BE49-F238E27FC236}">
              <a16:creationId xmlns:a16="http://schemas.microsoft.com/office/drawing/2014/main" id="{F076F2CC-E2D3-44D2-94EC-086D0D449401}"/>
            </a:ext>
          </a:extLst>
        </xdr:cNvPr>
        <xdr:cNvSpPr>
          <a:spLocks noChangeShapeType="1"/>
        </xdr:cNvSpPr>
      </xdr:nvSpPr>
      <xdr:spPr bwMode="auto">
        <a:xfrm flipH="1">
          <a:off x="2457450" y="1095375"/>
          <a:ext cx="247650"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514350</xdr:colOff>
      <xdr:row>5</xdr:row>
      <xdr:rowOff>0</xdr:rowOff>
    </xdr:from>
    <xdr:to>
      <xdr:col>10</xdr:col>
      <xdr:colOff>514350</xdr:colOff>
      <xdr:row>6</xdr:row>
      <xdr:rowOff>0</xdr:rowOff>
    </xdr:to>
    <xdr:sp macro="" textlink="">
      <xdr:nvSpPr>
        <xdr:cNvPr id="565603" name="Line 91">
          <a:extLst>
            <a:ext uri="{FF2B5EF4-FFF2-40B4-BE49-F238E27FC236}">
              <a16:creationId xmlns:a16="http://schemas.microsoft.com/office/drawing/2014/main" id="{A30E6D6A-1B07-48BC-891A-272BF189B07F}"/>
            </a:ext>
          </a:extLst>
        </xdr:cNvPr>
        <xdr:cNvSpPr>
          <a:spLocks noChangeShapeType="1"/>
        </xdr:cNvSpPr>
      </xdr:nvSpPr>
      <xdr:spPr bwMode="auto">
        <a:xfrm>
          <a:off x="68580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457200</xdr:colOff>
      <xdr:row>5</xdr:row>
      <xdr:rowOff>0</xdr:rowOff>
    </xdr:from>
    <xdr:to>
      <xdr:col>19</xdr:col>
      <xdr:colOff>457200</xdr:colOff>
      <xdr:row>6</xdr:row>
      <xdr:rowOff>0</xdr:rowOff>
    </xdr:to>
    <xdr:sp macro="" textlink="">
      <xdr:nvSpPr>
        <xdr:cNvPr id="565604" name="Line 92">
          <a:extLst>
            <a:ext uri="{FF2B5EF4-FFF2-40B4-BE49-F238E27FC236}">
              <a16:creationId xmlns:a16="http://schemas.microsoft.com/office/drawing/2014/main" id="{FEB7849F-EEE0-4967-A785-E7232DAFABCB}"/>
            </a:ext>
          </a:extLst>
        </xdr:cNvPr>
        <xdr:cNvSpPr>
          <a:spLocks noChangeShapeType="1"/>
        </xdr:cNvSpPr>
      </xdr:nvSpPr>
      <xdr:spPr bwMode="auto">
        <a:xfrm>
          <a:off x="144399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14</xdr:col>
      <xdr:colOff>914400</xdr:colOff>
      <xdr:row>4</xdr:row>
      <xdr:rowOff>176740</xdr:rowOff>
    </xdr:from>
    <xdr:ext cx="674159" cy="170560"/>
    <xdr:sp macro="" textlink="">
      <xdr:nvSpPr>
        <xdr:cNvPr id="79" name="Text Box 93">
          <a:extLst>
            <a:ext uri="{FF2B5EF4-FFF2-40B4-BE49-F238E27FC236}">
              <a16:creationId xmlns:a16="http://schemas.microsoft.com/office/drawing/2014/main" id="{319819EA-92D7-4060-AA99-554E7337429F}"/>
            </a:ext>
          </a:extLst>
        </xdr:cNvPr>
        <xdr:cNvSpPr txBox="1">
          <a:spLocks noChangeArrowheads="1"/>
        </xdr:cNvSpPr>
      </xdr:nvSpPr>
      <xdr:spPr bwMode="auto">
        <a:xfrm>
          <a:off x="10629900" y="1097490"/>
          <a:ext cx="674159"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Spacecraft</a:t>
          </a:r>
        </a:p>
      </xdr:txBody>
    </xdr:sp>
    <xdr:clientData/>
  </xdr:oneCellAnchor>
  <xdr:twoCellAnchor>
    <xdr:from>
      <xdr:col>10</xdr:col>
      <xdr:colOff>542925</xdr:colOff>
      <xdr:row>5</xdr:row>
      <xdr:rowOff>76200</xdr:rowOff>
    </xdr:from>
    <xdr:to>
      <xdr:col>14</xdr:col>
      <xdr:colOff>809625</xdr:colOff>
      <xdr:row>5</xdr:row>
      <xdr:rowOff>76200</xdr:rowOff>
    </xdr:to>
    <xdr:sp macro="" textlink="">
      <xdr:nvSpPr>
        <xdr:cNvPr id="565606" name="Line 94">
          <a:extLst>
            <a:ext uri="{FF2B5EF4-FFF2-40B4-BE49-F238E27FC236}">
              <a16:creationId xmlns:a16="http://schemas.microsoft.com/office/drawing/2014/main" id="{E8B86D03-50DF-4EFF-92C6-37CEAAAF30BC}"/>
            </a:ext>
          </a:extLst>
        </xdr:cNvPr>
        <xdr:cNvSpPr>
          <a:spLocks noChangeShapeType="1"/>
        </xdr:cNvSpPr>
      </xdr:nvSpPr>
      <xdr:spPr bwMode="auto">
        <a:xfrm flipH="1">
          <a:off x="6886575" y="1095375"/>
          <a:ext cx="3248025"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571500</xdr:colOff>
      <xdr:row>5</xdr:row>
      <xdr:rowOff>76200</xdr:rowOff>
    </xdr:from>
    <xdr:to>
      <xdr:col>19</xdr:col>
      <xdr:colOff>447675</xdr:colOff>
      <xdr:row>5</xdr:row>
      <xdr:rowOff>76200</xdr:rowOff>
    </xdr:to>
    <xdr:sp macro="" textlink="">
      <xdr:nvSpPr>
        <xdr:cNvPr id="565607" name="Line 95">
          <a:extLst>
            <a:ext uri="{FF2B5EF4-FFF2-40B4-BE49-F238E27FC236}">
              <a16:creationId xmlns:a16="http://schemas.microsoft.com/office/drawing/2014/main" id="{DFB84214-9FA0-473D-AD9F-6E0D4BCA13D7}"/>
            </a:ext>
          </a:extLst>
        </xdr:cNvPr>
        <xdr:cNvSpPr>
          <a:spLocks noChangeShapeType="1"/>
        </xdr:cNvSpPr>
      </xdr:nvSpPr>
      <xdr:spPr bwMode="auto">
        <a:xfrm flipV="1">
          <a:off x="10972800" y="1095375"/>
          <a:ext cx="3457575"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161925</xdr:colOff>
      <xdr:row>5</xdr:row>
      <xdr:rowOff>76200</xdr:rowOff>
    </xdr:from>
    <xdr:to>
      <xdr:col>10</xdr:col>
      <xdr:colOff>514350</xdr:colOff>
      <xdr:row>5</xdr:row>
      <xdr:rowOff>76200</xdr:rowOff>
    </xdr:to>
    <xdr:sp macro="" textlink="">
      <xdr:nvSpPr>
        <xdr:cNvPr id="565608" name="Line 96">
          <a:extLst>
            <a:ext uri="{FF2B5EF4-FFF2-40B4-BE49-F238E27FC236}">
              <a16:creationId xmlns:a16="http://schemas.microsoft.com/office/drawing/2014/main" id="{3CFE4084-664B-4C27-B351-C4A4EBD4323A}"/>
            </a:ext>
          </a:extLst>
        </xdr:cNvPr>
        <xdr:cNvSpPr>
          <a:spLocks noChangeShapeType="1"/>
        </xdr:cNvSpPr>
      </xdr:nvSpPr>
      <xdr:spPr bwMode="auto">
        <a:xfrm>
          <a:off x="4610100" y="1095375"/>
          <a:ext cx="2247900" cy="0"/>
        </a:xfrm>
        <a:prstGeom prst="line">
          <a:avLst/>
        </a:prstGeom>
        <a:noFill/>
        <a:ln w="9525">
          <a:solidFill>
            <a:srgbClr val="000000"/>
          </a:solidFill>
          <a:prstDash val="lgDash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152400</xdr:colOff>
      <xdr:row>5</xdr:row>
      <xdr:rowOff>0</xdr:rowOff>
    </xdr:from>
    <xdr:to>
      <xdr:col>22</xdr:col>
      <xdr:colOff>152400</xdr:colOff>
      <xdr:row>6</xdr:row>
      <xdr:rowOff>0</xdr:rowOff>
    </xdr:to>
    <xdr:sp macro="" textlink="">
      <xdr:nvSpPr>
        <xdr:cNvPr id="565609" name="Line 97">
          <a:extLst>
            <a:ext uri="{FF2B5EF4-FFF2-40B4-BE49-F238E27FC236}">
              <a16:creationId xmlns:a16="http://schemas.microsoft.com/office/drawing/2014/main" id="{9D5C4C15-29F9-48E7-8D24-9E9BEC314D21}"/>
            </a:ext>
          </a:extLst>
        </xdr:cNvPr>
        <xdr:cNvSpPr>
          <a:spLocks noChangeShapeType="1"/>
        </xdr:cNvSpPr>
      </xdr:nvSpPr>
      <xdr:spPr bwMode="auto">
        <a:xfrm>
          <a:off x="160782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66675</xdr:colOff>
      <xdr:row>5</xdr:row>
      <xdr:rowOff>0</xdr:rowOff>
    </xdr:from>
    <xdr:to>
      <xdr:col>26</xdr:col>
      <xdr:colOff>66675</xdr:colOff>
      <xdr:row>6</xdr:row>
      <xdr:rowOff>0</xdr:rowOff>
    </xdr:to>
    <xdr:sp macro="" textlink="">
      <xdr:nvSpPr>
        <xdr:cNvPr id="565610" name="Line 98">
          <a:extLst>
            <a:ext uri="{FF2B5EF4-FFF2-40B4-BE49-F238E27FC236}">
              <a16:creationId xmlns:a16="http://schemas.microsoft.com/office/drawing/2014/main" id="{F8D3DDD1-EBBA-4852-93B8-C74C84586E6D}"/>
            </a:ext>
          </a:extLst>
        </xdr:cNvPr>
        <xdr:cNvSpPr>
          <a:spLocks noChangeShapeType="1"/>
        </xdr:cNvSpPr>
      </xdr:nvSpPr>
      <xdr:spPr bwMode="auto">
        <a:xfrm>
          <a:off x="185928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22</xdr:col>
      <xdr:colOff>666750</xdr:colOff>
      <xdr:row>4</xdr:row>
      <xdr:rowOff>194732</xdr:rowOff>
    </xdr:from>
    <xdr:ext cx="1351011" cy="179601"/>
    <xdr:sp macro="" textlink="">
      <xdr:nvSpPr>
        <xdr:cNvPr id="85" name="Text Box 99">
          <a:extLst>
            <a:ext uri="{FF2B5EF4-FFF2-40B4-BE49-F238E27FC236}">
              <a16:creationId xmlns:a16="http://schemas.microsoft.com/office/drawing/2014/main" id="{64B066A3-3482-48E4-959F-6C5512A88429}"/>
            </a:ext>
          </a:extLst>
        </xdr:cNvPr>
        <xdr:cNvSpPr txBox="1">
          <a:spLocks noChangeArrowheads="1"/>
        </xdr:cNvSpPr>
      </xdr:nvSpPr>
      <xdr:spPr bwMode="auto">
        <a:xfrm>
          <a:off x="16996833" y="1115482"/>
          <a:ext cx="1351011" cy="179601"/>
        </a:xfrm>
        <a:prstGeom prst="rect">
          <a:avLst/>
        </a:prstGeom>
        <a:noFill/>
        <a:ln w="9525">
          <a:noFill/>
          <a:miter lim="800000"/>
          <a:headEnd/>
          <a:tailEnd/>
        </a:ln>
      </xdr:spPr>
      <xdr:txBody>
        <a:bodyPr wrap="none" lIns="18288" tIns="22860" rIns="0" bIns="0" anchor="t" upright="1">
          <a:spAutoFit/>
        </a:bodyPr>
        <a:lstStyle/>
        <a:p>
          <a:pPr algn="l" rtl="0">
            <a:defRPr sz="1000"/>
          </a:pPr>
          <a:r>
            <a:rPr lang="en-AU" sz="1000" b="1" i="0" u="none" strike="noStrike" baseline="0">
              <a:solidFill>
                <a:srgbClr val="000000"/>
              </a:solidFill>
              <a:latin typeface="Arial"/>
              <a:cs typeface="Arial"/>
            </a:rPr>
            <a:t>TLM Receipt Terminal</a:t>
          </a:r>
          <a:endParaRPr lang="en-AU"/>
        </a:p>
      </xdr:txBody>
    </xdr:sp>
    <xdr:clientData/>
  </xdr:oneCellAnchor>
  <xdr:twoCellAnchor>
    <xdr:from>
      <xdr:col>25</xdr:col>
      <xdr:colOff>66675</xdr:colOff>
      <xdr:row>5</xdr:row>
      <xdr:rowOff>76200</xdr:rowOff>
    </xdr:from>
    <xdr:to>
      <xdr:col>26</xdr:col>
      <xdr:colOff>47625</xdr:colOff>
      <xdr:row>5</xdr:row>
      <xdr:rowOff>76200</xdr:rowOff>
    </xdr:to>
    <xdr:sp macro="" textlink="">
      <xdr:nvSpPr>
        <xdr:cNvPr id="565612" name="Line 100">
          <a:extLst>
            <a:ext uri="{FF2B5EF4-FFF2-40B4-BE49-F238E27FC236}">
              <a16:creationId xmlns:a16="http://schemas.microsoft.com/office/drawing/2014/main" id="{8AF7B683-9194-476E-8271-5C00F0A698F1}"/>
            </a:ext>
          </a:extLst>
        </xdr:cNvPr>
        <xdr:cNvSpPr>
          <a:spLocks noChangeShapeType="1"/>
        </xdr:cNvSpPr>
      </xdr:nvSpPr>
      <xdr:spPr bwMode="auto">
        <a:xfrm>
          <a:off x="17983200" y="1095375"/>
          <a:ext cx="590550"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161925</xdr:colOff>
      <xdr:row>5</xdr:row>
      <xdr:rowOff>85725</xdr:rowOff>
    </xdr:from>
    <xdr:to>
      <xdr:col>22</xdr:col>
      <xdr:colOff>685800</xdr:colOff>
      <xdr:row>5</xdr:row>
      <xdr:rowOff>85725</xdr:rowOff>
    </xdr:to>
    <xdr:sp macro="" textlink="">
      <xdr:nvSpPr>
        <xdr:cNvPr id="565613" name="Line 101">
          <a:extLst>
            <a:ext uri="{FF2B5EF4-FFF2-40B4-BE49-F238E27FC236}">
              <a16:creationId xmlns:a16="http://schemas.microsoft.com/office/drawing/2014/main" id="{FEC8CB9A-65CC-4AC6-A22E-57DF182EE45A}"/>
            </a:ext>
          </a:extLst>
        </xdr:cNvPr>
        <xdr:cNvSpPr>
          <a:spLocks noChangeShapeType="1"/>
        </xdr:cNvSpPr>
      </xdr:nvSpPr>
      <xdr:spPr bwMode="auto">
        <a:xfrm flipH="1">
          <a:off x="16087725" y="1104900"/>
          <a:ext cx="523875"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19</xdr:col>
      <xdr:colOff>485775</xdr:colOff>
      <xdr:row>5</xdr:row>
      <xdr:rowOff>85725</xdr:rowOff>
    </xdr:from>
    <xdr:to>
      <xdr:col>22</xdr:col>
      <xdr:colOff>123825</xdr:colOff>
      <xdr:row>5</xdr:row>
      <xdr:rowOff>85725</xdr:rowOff>
    </xdr:to>
    <xdr:sp macro="" textlink="">
      <xdr:nvSpPr>
        <xdr:cNvPr id="565614" name="Line 102">
          <a:extLst>
            <a:ext uri="{FF2B5EF4-FFF2-40B4-BE49-F238E27FC236}">
              <a16:creationId xmlns:a16="http://schemas.microsoft.com/office/drawing/2014/main" id="{BFCB0DB6-3935-45D2-AEED-C14FF6108543}"/>
            </a:ext>
          </a:extLst>
        </xdr:cNvPr>
        <xdr:cNvSpPr>
          <a:spLocks noChangeShapeType="1"/>
        </xdr:cNvSpPr>
      </xdr:nvSpPr>
      <xdr:spPr bwMode="auto">
        <a:xfrm>
          <a:off x="14468475" y="1104900"/>
          <a:ext cx="1581150" cy="0"/>
        </a:xfrm>
        <a:prstGeom prst="line">
          <a:avLst/>
        </a:prstGeom>
        <a:noFill/>
        <a:ln w="9525">
          <a:solidFill>
            <a:srgbClr val="000000"/>
          </a:solidFill>
          <a:prstDash val="lgDashDot"/>
          <a:round/>
          <a:headEnd/>
          <a:tailEnd type="triangle" w="med" len="med"/>
        </a:ln>
        <a:extLst>
          <a:ext uri="{909E8E84-426E-40DD-AFC4-6F175D3DCCD1}">
            <a14:hiddenFill xmlns:a14="http://schemas.microsoft.com/office/drawing/2010/main">
              <a:noFill/>
            </a14:hiddenFill>
          </a:ext>
        </a:extLst>
      </xdr:spPr>
    </xdr:sp>
    <xdr:clientData/>
  </xdr:twoCellAnchor>
  <xdr:oneCellAnchor>
    <xdr:from>
      <xdr:col>30</xdr:col>
      <xdr:colOff>438150</xdr:colOff>
      <xdr:row>8</xdr:row>
      <xdr:rowOff>76200</xdr:rowOff>
    </xdr:from>
    <xdr:ext cx="1564403" cy="170560"/>
    <xdr:sp macro="" textlink="">
      <xdr:nvSpPr>
        <xdr:cNvPr id="89" name="Text Box 103">
          <a:extLst>
            <a:ext uri="{FF2B5EF4-FFF2-40B4-BE49-F238E27FC236}">
              <a16:creationId xmlns:a16="http://schemas.microsoft.com/office/drawing/2014/main" id="{220FA901-3712-4282-8337-EB3104399D1C}"/>
            </a:ext>
          </a:extLst>
        </xdr:cNvPr>
        <xdr:cNvSpPr txBox="1">
          <a:spLocks noChangeArrowheads="1"/>
        </xdr:cNvSpPr>
      </xdr:nvSpPr>
      <xdr:spPr bwMode="auto">
        <a:xfrm>
          <a:off x="21888450" y="1609725"/>
          <a:ext cx="1564403"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sng" strike="noStrike">
              <a:solidFill>
                <a:srgbClr val="000000"/>
              </a:solidFill>
              <a:latin typeface="Arial"/>
              <a:cs typeface="Arial"/>
            </a:rPr>
            <a:t>DIGITAL</a:t>
          </a:r>
          <a:r>
            <a:rPr lang="en-US" sz="1000" b="1" i="0" u="sng" strike="noStrike" baseline="0">
              <a:solidFill>
                <a:srgbClr val="000000"/>
              </a:solidFill>
              <a:latin typeface="Arial"/>
              <a:cs typeface="Arial"/>
            </a:rPr>
            <a:t> LINK</a:t>
          </a:r>
          <a:r>
            <a:rPr lang="en-US" sz="1000" b="1" i="0" u="sng" strike="noStrike">
              <a:solidFill>
                <a:srgbClr val="000000"/>
              </a:solidFill>
              <a:latin typeface="Arial"/>
              <a:cs typeface="Arial"/>
            </a:rPr>
            <a:t> SUMMARY</a:t>
          </a:r>
        </a:p>
      </xdr:txBody>
    </xdr:sp>
    <xdr:clientData/>
  </xdr:oneCellAnchor>
  <xdr:twoCellAnchor>
    <xdr:from>
      <xdr:col>19</xdr:col>
      <xdr:colOff>114300</xdr:colOff>
      <xdr:row>7</xdr:row>
      <xdr:rowOff>0</xdr:rowOff>
    </xdr:from>
    <xdr:to>
      <xdr:col>19</xdr:col>
      <xdr:colOff>114300</xdr:colOff>
      <xdr:row>12</xdr:row>
      <xdr:rowOff>142875</xdr:rowOff>
    </xdr:to>
    <xdr:sp macro="" textlink="">
      <xdr:nvSpPr>
        <xdr:cNvPr id="565616" name="Line 104">
          <a:extLst>
            <a:ext uri="{FF2B5EF4-FFF2-40B4-BE49-F238E27FC236}">
              <a16:creationId xmlns:a16="http://schemas.microsoft.com/office/drawing/2014/main" id="{BDCB0F82-B069-4C10-AC3B-A2E2B4898E15}"/>
            </a:ext>
          </a:extLst>
        </xdr:cNvPr>
        <xdr:cNvSpPr>
          <a:spLocks noChangeShapeType="1"/>
        </xdr:cNvSpPr>
      </xdr:nvSpPr>
      <xdr:spPr bwMode="auto">
        <a:xfrm>
          <a:off x="14097000" y="1362075"/>
          <a:ext cx="0" cy="1000125"/>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19</xdr:col>
      <xdr:colOff>285750</xdr:colOff>
      <xdr:row>24</xdr:row>
      <xdr:rowOff>9525</xdr:rowOff>
    </xdr:from>
    <xdr:to>
      <xdr:col>19</xdr:col>
      <xdr:colOff>285750</xdr:colOff>
      <xdr:row>25</xdr:row>
      <xdr:rowOff>161925</xdr:rowOff>
    </xdr:to>
    <xdr:cxnSp macro="">
      <xdr:nvCxnSpPr>
        <xdr:cNvPr id="565617" name="Straight Connector 91">
          <a:extLst>
            <a:ext uri="{FF2B5EF4-FFF2-40B4-BE49-F238E27FC236}">
              <a16:creationId xmlns:a16="http://schemas.microsoft.com/office/drawing/2014/main" id="{1EA3AF2B-1C18-4F4A-8B81-559B1534892B}"/>
            </a:ext>
          </a:extLst>
        </xdr:cNvPr>
        <xdr:cNvCxnSpPr>
          <a:cxnSpLocks noChangeShapeType="1"/>
        </xdr:cNvCxnSpPr>
      </xdr:nvCxnSpPr>
      <xdr:spPr bwMode="auto">
        <a:xfrm rot="5400000" flipH="1" flipV="1">
          <a:off x="14106525" y="4448175"/>
          <a:ext cx="323850" cy="0"/>
        </a:xfrm>
        <a:prstGeom prst="line">
          <a:avLst/>
        </a:prstGeom>
        <a:noFill/>
        <a:ln w="9525" algn="ctr">
          <a:solidFill>
            <a:srgbClr val="000000"/>
          </a:solidFill>
          <a:prstDash val="lgDash"/>
          <a:round/>
          <a:headEnd type="triangle" w="med" len="med"/>
          <a:tailEnd/>
        </a:ln>
        <a:extLst>
          <a:ext uri="{909E8E84-426E-40DD-AFC4-6F175D3DCCD1}">
            <a14:hiddenFill xmlns:a14="http://schemas.microsoft.com/office/drawing/2010/main">
              <a:noFill/>
            </a14:hiddenFill>
          </a:ext>
        </a:extLst>
      </xdr:spPr>
    </xdr:cxnSp>
    <xdr:clientData/>
  </xdr:twoCellAnchor>
  <xdr:twoCellAnchor>
    <xdr:from>
      <xdr:col>12</xdr:col>
      <xdr:colOff>523875</xdr:colOff>
      <xdr:row>24</xdr:row>
      <xdr:rowOff>9525</xdr:rowOff>
    </xdr:from>
    <xdr:to>
      <xdr:col>19</xdr:col>
      <xdr:colOff>295275</xdr:colOff>
      <xdr:row>24</xdr:row>
      <xdr:rowOff>9525</xdr:rowOff>
    </xdr:to>
    <xdr:cxnSp macro="">
      <xdr:nvCxnSpPr>
        <xdr:cNvPr id="565618" name="Straight Connector 95">
          <a:extLst>
            <a:ext uri="{FF2B5EF4-FFF2-40B4-BE49-F238E27FC236}">
              <a16:creationId xmlns:a16="http://schemas.microsoft.com/office/drawing/2014/main" id="{74F79345-15BD-49FB-B6DE-A9C699B10459}"/>
            </a:ext>
          </a:extLst>
        </xdr:cNvPr>
        <xdr:cNvCxnSpPr>
          <a:cxnSpLocks noChangeShapeType="1"/>
        </xdr:cNvCxnSpPr>
      </xdr:nvCxnSpPr>
      <xdr:spPr bwMode="auto">
        <a:xfrm rot="10800000">
          <a:off x="8162925" y="4286250"/>
          <a:ext cx="6115050" cy="0"/>
        </a:xfrm>
        <a:prstGeom prst="line">
          <a:avLst/>
        </a:prstGeom>
        <a:noFill/>
        <a:ln w="9525" algn="ctr">
          <a:solidFill>
            <a:srgbClr val="000000"/>
          </a:solidFill>
          <a:prstDash val="dash"/>
          <a:round/>
          <a:headEnd/>
          <a:tailEnd/>
        </a:ln>
        <a:extLst>
          <a:ext uri="{909E8E84-426E-40DD-AFC4-6F175D3DCCD1}">
            <a14:hiddenFill xmlns:a14="http://schemas.microsoft.com/office/drawing/2010/main">
              <a:noFill/>
            </a14:hiddenFill>
          </a:ext>
        </a:extLst>
      </xdr:spPr>
    </xdr:cxnSp>
    <xdr:clientData/>
  </xdr:twoCellAnchor>
  <xdr:twoCellAnchor editAs="oneCell">
    <xdr:from>
      <xdr:col>13</xdr:col>
      <xdr:colOff>419100</xdr:colOff>
      <xdr:row>3</xdr:row>
      <xdr:rowOff>0</xdr:rowOff>
    </xdr:from>
    <xdr:to>
      <xdr:col>13</xdr:col>
      <xdr:colOff>438150</xdr:colOff>
      <xdr:row>4</xdr:row>
      <xdr:rowOff>9525</xdr:rowOff>
    </xdr:to>
    <xdr:sp macro="" textlink="">
      <xdr:nvSpPr>
        <xdr:cNvPr id="565619" name="Text Box 93">
          <a:extLst>
            <a:ext uri="{FF2B5EF4-FFF2-40B4-BE49-F238E27FC236}">
              <a16:creationId xmlns:a16="http://schemas.microsoft.com/office/drawing/2014/main" id="{878404C4-5A8C-4974-B108-936AD38CB0AC}"/>
            </a:ext>
          </a:extLst>
        </xdr:cNvPr>
        <xdr:cNvSpPr txBox="1">
          <a:spLocks noChangeArrowheads="1"/>
        </xdr:cNvSpPr>
      </xdr:nvSpPr>
      <xdr:spPr bwMode="auto">
        <a:xfrm>
          <a:off x="8667750" y="685800"/>
          <a:ext cx="190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13</xdr:col>
      <xdr:colOff>104775</xdr:colOff>
      <xdr:row>11</xdr:row>
      <xdr:rowOff>0</xdr:rowOff>
    </xdr:from>
    <xdr:to>
      <xdr:col>14</xdr:col>
      <xdr:colOff>304800</xdr:colOff>
      <xdr:row>15</xdr:row>
      <xdr:rowOff>28575</xdr:rowOff>
    </xdr:to>
    <xdr:sp macro="" textlink="">
      <xdr:nvSpPr>
        <xdr:cNvPr id="385138" name="Rectangle 7282">
          <a:extLst>
            <a:ext uri="{FF2B5EF4-FFF2-40B4-BE49-F238E27FC236}">
              <a16:creationId xmlns:a16="http://schemas.microsoft.com/office/drawing/2014/main" id="{9AA390CE-9BDF-4602-A875-B10D0801AA7E}"/>
            </a:ext>
          </a:extLst>
        </xdr:cNvPr>
        <xdr:cNvSpPr>
          <a:spLocks noChangeArrowheads="1"/>
        </xdr:cNvSpPr>
      </xdr:nvSpPr>
      <xdr:spPr bwMode="auto">
        <a:xfrm>
          <a:off x="8305800" y="2047875"/>
          <a:ext cx="1276350" cy="714375"/>
        </a:xfrm>
        <a:prstGeom prst="rect">
          <a:avLst/>
        </a:prstGeom>
        <a:solidFill>
          <a:srgbClr val="00FFFF"/>
        </a:solidFill>
        <a:ln w="9525">
          <a:solidFill>
            <a:srgbClr val="000000"/>
          </a:solidFill>
          <a:miter lim="800000"/>
          <a:headEnd/>
          <a:tailEnd/>
        </a:ln>
      </xdr:spPr>
      <xdr:txBody>
        <a:bodyPr vertOverflow="clip" wrap="square" lIns="27432" tIns="22860" rIns="27432" bIns="0" anchor="t" upright="1"/>
        <a:lstStyle/>
        <a:p>
          <a:pPr algn="ctr" rtl="0">
            <a:defRPr sz="1000"/>
          </a:pPr>
          <a:endParaRPr lang="en-AU" sz="1000" b="1" i="0" u="none" strike="noStrike" baseline="0">
            <a:solidFill>
              <a:srgbClr val="000000"/>
            </a:solidFill>
            <a:latin typeface="Arial"/>
            <a:cs typeface="Arial"/>
          </a:endParaRPr>
        </a:p>
        <a:p>
          <a:pPr algn="ctr" rtl="0">
            <a:defRPr sz="1000"/>
          </a:pPr>
          <a:r>
            <a:rPr lang="en-AU" sz="1000" b="1" i="0" u="none" strike="noStrike" baseline="0">
              <a:solidFill>
                <a:srgbClr val="000000"/>
              </a:solidFill>
              <a:latin typeface="Arial"/>
              <a:cs typeface="Arial"/>
            </a:rPr>
            <a:t>Down Converter,</a:t>
          </a:r>
        </a:p>
        <a:p>
          <a:pPr algn="ctr" rtl="0">
            <a:defRPr sz="1000"/>
          </a:pPr>
          <a:r>
            <a:rPr lang="en-AU" sz="1000" b="1" i="0" u="none" strike="noStrike" baseline="0">
              <a:solidFill>
                <a:srgbClr val="000000"/>
              </a:solidFill>
              <a:latin typeface="Arial"/>
              <a:cs typeface="Arial"/>
            </a:rPr>
            <a:t>Gain, IF Filter</a:t>
          </a:r>
          <a:endParaRPr lang="en-AU"/>
        </a:p>
      </xdr:txBody>
    </xdr:sp>
    <xdr:clientData/>
  </xdr:twoCellAnchor>
  <xdr:twoCellAnchor>
    <xdr:from>
      <xdr:col>14</xdr:col>
      <xdr:colOff>542925</xdr:colOff>
      <xdr:row>11</xdr:row>
      <xdr:rowOff>19050</xdr:rowOff>
    </xdr:from>
    <xdr:to>
      <xdr:col>15</xdr:col>
      <xdr:colOff>352425</xdr:colOff>
      <xdr:row>15</xdr:row>
      <xdr:rowOff>19050</xdr:rowOff>
    </xdr:to>
    <xdr:sp macro="" textlink="">
      <xdr:nvSpPr>
        <xdr:cNvPr id="385140" name="Rectangle 7284">
          <a:extLst>
            <a:ext uri="{FF2B5EF4-FFF2-40B4-BE49-F238E27FC236}">
              <a16:creationId xmlns:a16="http://schemas.microsoft.com/office/drawing/2014/main" id="{43F2C9AC-9E35-4739-B0F9-CD77B09E52B3}"/>
            </a:ext>
          </a:extLst>
        </xdr:cNvPr>
        <xdr:cNvSpPr>
          <a:spLocks noChangeArrowheads="1"/>
        </xdr:cNvSpPr>
      </xdr:nvSpPr>
      <xdr:spPr bwMode="auto">
        <a:xfrm>
          <a:off x="9820275" y="2066925"/>
          <a:ext cx="885825" cy="685800"/>
        </a:xfrm>
        <a:prstGeom prst="rect">
          <a:avLst/>
        </a:prstGeom>
        <a:solidFill>
          <a:srgbClr val="00FFFF"/>
        </a:solidFill>
        <a:ln w="9525">
          <a:solidFill>
            <a:srgbClr val="000000"/>
          </a:solidFill>
          <a:miter lim="800000"/>
          <a:headEnd/>
          <a:tailEnd/>
        </a:ln>
      </xdr:spPr>
      <xdr:txBody>
        <a:bodyPr vertOverflow="clip" wrap="square" lIns="27432" tIns="22860" rIns="27432" bIns="0" anchor="t" upright="1"/>
        <a:lstStyle/>
        <a:p>
          <a:pPr algn="ctr" rtl="0">
            <a:defRPr sz="1000"/>
          </a:pPr>
          <a:endParaRPr lang="en-AU" sz="1000" b="1" i="0" u="none" strike="noStrike" baseline="0">
            <a:solidFill>
              <a:srgbClr val="000000"/>
            </a:solidFill>
            <a:latin typeface="Arial"/>
            <a:cs typeface="Arial"/>
          </a:endParaRPr>
        </a:p>
        <a:p>
          <a:pPr algn="ctr" rtl="0">
            <a:defRPr sz="1000"/>
          </a:pPr>
          <a:r>
            <a:rPr lang="en-AU" sz="1000" b="1" i="0" u="none" strike="noStrike" baseline="0">
              <a:solidFill>
                <a:srgbClr val="000000"/>
              </a:solidFill>
              <a:latin typeface="Arial"/>
              <a:cs typeface="Arial"/>
            </a:rPr>
            <a:t>DVB-S2</a:t>
          </a:r>
        </a:p>
        <a:p>
          <a:pPr algn="ctr" rtl="0">
            <a:defRPr sz="1000"/>
          </a:pPr>
          <a:r>
            <a:rPr lang="en-AU" sz="1000" b="1" i="0" u="none" strike="noStrike" baseline="0">
              <a:solidFill>
                <a:srgbClr val="000000"/>
              </a:solidFill>
              <a:latin typeface="Arial"/>
              <a:cs typeface="Arial"/>
            </a:rPr>
            <a:t>Demodulator</a:t>
          </a:r>
        </a:p>
        <a:p>
          <a:pPr algn="ctr" rtl="0">
            <a:defRPr sz="1000"/>
          </a:pPr>
          <a:r>
            <a:rPr lang="en-AU" sz="1000" b="1" i="0" u="none" strike="noStrike" baseline="0">
              <a:solidFill>
                <a:srgbClr val="000000"/>
              </a:solidFill>
              <a:latin typeface="Arial"/>
              <a:cs typeface="Arial"/>
            </a:rPr>
            <a:t>VCM</a:t>
          </a:r>
          <a:endParaRPr lang="en-AU"/>
        </a:p>
      </xdr:txBody>
    </xdr:sp>
    <xdr:clientData/>
  </xdr:twoCellAnchor>
  <xdr:twoCellAnchor>
    <xdr:from>
      <xdr:col>17</xdr:col>
      <xdr:colOff>104775</xdr:colOff>
      <xdr:row>11</xdr:row>
      <xdr:rowOff>133350</xdr:rowOff>
    </xdr:from>
    <xdr:to>
      <xdr:col>17</xdr:col>
      <xdr:colOff>514350</xdr:colOff>
      <xdr:row>14</xdr:row>
      <xdr:rowOff>47625</xdr:rowOff>
    </xdr:to>
    <xdr:sp macro="" textlink="">
      <xdr:nvSpPr>
        <xdr:cNvPr id="565622" name="AutoShape 60">
          <a:extLst>
            <a:ext uri="{FF2B5EF4-FFF2-40B4-BE49-F238E27FC236}">
              <a16:creationId xmlns:a16="http://schemas.microsoft.com/office/drawing/2014/main" id="{A2BAD4B2-3428-4559-AF4C-94DFC0C1C70D}"/>
            </a:ext>
          </a:extLst>
        </xdr:cNvPr>
        <xdr:cNvSpPr>
          <a:spLocks noChangeArrowheads="1"/>
        </xdr:cNvSpPr>
      </xdr:nvSpPr>
      <xdr:spPr bwMode="auto">
        <a:xfrm rot="5400000">
          <a:off x="12649200" y="2190750"/>
          <a:ext cx="428625" cy="409575"/>
        </a:xfrm>
        <a:prstGeom prst="triangle">
          <a:avLst>
            <a:gd name="adj" fmla="val 50000"/>
          </a:avLst>
        </a:prstGeom>
        <a:solidFill>
          <a:srgbClr val="00FFFF"/>
        </a:solidFill>
        <a:ln w="9525">
          <a:solidFill>
            <a:srgbClr val="000000"/>
          </a:solidFill>
          <a:miter lim="800000"/>
          <a:headEnd/>
          <a:tailEnd/>
        </a:ln>
      </xdr:spPr>
    </xdr:sp>
    <xdr:clientData/>
  </xdr:twoCellAnchor>
  <xdr:twoCellAnchor>
    <xdr:from>
      <xdr:col>16</xdr:col>
      <xdr:colOff>9525</xdr:colOff>
      <xdr:row>11</xdr:row>
      <xdr:rowOff>0</xdr:rowOff>
    </xdr:from>
    <xdr:to>
      <xdr:col>16</xdr:col>
      <xdr:colOff>933450</xdr:colOff>
      <xdr:row>15</xdr:row>
      <xdr:rowOff>9525</xdr:rowOff>
    </xdr:to>
    <xdr:sp macro="" textlink="">
      <xdr:nvSpPr>
        <xdr:cNvPr id="385142" name="Rectangle 7286">
          <a:extLst>
            <a:ext uri="{FF2B5EF4-FFF2-40B4-BE49-F238E27FC236}">
              <a16:creationId xmlns:a16="http://schemas.microsoft.com/office/drawing/2014/main" id="{0002CEB0-69E5-406D-BEC0-F412D5DB0957}"/>
            </a:ext>
          </a:extLst>
        </xdr:cNvPr>
        <xdr:cNvSpPr>
          <a:spLocks noChangeArrowheads="1"/>
        </xdr:cNvSpPr>
      </xdr:nvSpPr>
      <xdr:spPr bwMode="auto">
        <a:xfrm>
          <a:off x="11439525" y="2047875"/>
          <a:ext cx="923925" cy="695325"/>
        </a:xfrm>
        <a:prstGeom prst="rect">
          <a:avLst/>
        </a:prstGeom>
        <a:solidFill>
          <a:srgbClr val="00FFFF"/>
        </a:solidFill>
        <a:ln w="9525">
          <a:solidFill>
            <a:srgbClr val="000000"/>
          </a:solidFill>
          <a:miter lim="800000"/>
          <a:headEnd/>
          <a:tailEnd/>
        </a:ln>
      </xdr:spPr>
      <xdr:txBody>
        <a:bodyPr vertOverflow="clip" wrap="square" lIns="27432" tIns="22860" rIns="27432" bIns="0" anchor="t" upright="1"/>
        <a:lstStyle/>
        <a:p>
          <a:pPr algn="ctr" rtl="0">
            <a:defRPr sz="1000"/>
          </a:pPr>
          <a:r>
            <a:rPr lang="en-AU" sz="1000" b="1" i="0" u="none" strike="noStrike" baseline="0">
              <a:solidFill>
                <a:srgbClr val="000000"/>
              </a:solidFill>
              <a:latin typeface="Arial"/>
              <a:cs typeface="Arial"/>
            </a:rPr>
            <a:t>Oscillator,</a:t>
          </a:r>
        </a:p>
        <a:p>
          <a:pPr algn="ctr" rtl="0">
            <a:defRPr sz="1000"/>
          </a:pPr>
          <a:r>
            <a:rPr lang="en-AU" sz="1000" b="1" i="0" u="none" strike="noStrike" baseline="0">
              <a:solidFill>
                <a:srgbClr val="000000"/>
              </a:solidFill>
              <a:latin typeface="Arial"/>
              <a:cs typeface="Arial"/>
            </a:rPr>
            <a:t>Up Converter,</a:t>
          </a:r>
        </a:p>
        <a:p>
          <a:pPr algn="ctr" rtl="0">
            <a:defRPr sz="1000"/>
          </a:pPr>
          <a:r>
            <a:rPr lang="en-AU" sz="1000" b="1" i="0" u="none" strike="noStrike" baseline="0">
              <a:solidFill>
                <a:srgbClr val="000000"/>
              </a:solidFill>
              <a:latin typeface="Arial"/>
              <a:cs typeface="Arial"/>
            </a:rPr>
            <a:t>DVB-S2(X)</a:t>
          </a:r>
        </a:p>
        <a:p>
          <a:pPr algn="ctr" rtl="0">
            <a:defRPr sz="1000"/>
          </a:pPr>
          <a:r>
            <a:rPr lang="en-AU" sz="1000" b="1" i="0" u="none" strike="noStrike" baseline="0">
              <a:solidFill>
                <a:srgbClr val="000000"/>
              </a:solidFill>
              <a:latin typeface="Arial"/>
              <a:cs typeface="Arial"/>
            </a:rPr>
            <a:t>VCM or ACM</a:t>
          </a:r>
          <a:endParaRPr lang="en-AU"/>
        </a:p>
      </xdr:txBody>
    </xdr:sp>
    <xdr:clientData/>
  </xdr:twoCellAnchor>
  <xdr:twoCellAnchor>
    <xdr:from>
      <xdr:col>16</xdr:col>
      <xdr:colOff>942975</xdr:colOff>
      <xdr:row>13</xdr:row>
      <xdr:rowOff>9525</xdr:rowOff>
    </xdr:from>
    <xdr:to>
      <xdr:col>17</xdr:col>
      <xdr:colOff>104775</xdr:colOff>
      <xdr:row>13</xdr:row>
      <xdr:rowOff>9525</xdr:rowOff>
    </xdr:to>
    <xdr:sp macro="" textlink="">
      <xdr:nvSpPr>
        <xdr:cNvPr id="565624" name="Line 7288">
          <a:extLst>
            <a:ext uri="{FF2B5EF4-FFF2-40B4-BE49-F238E27FC236}">
              <a16:creationId xmlns:a16="http://schemas.microsoft.com/office/drawing/2014/main" id="{37159776-93B5-4232-BA2A-4FF4641AC116}"/>
            </a:ext>
          </a:extLst>
        </xdr:cNvPr>
        <xdr:cNvSpPr>
          <a:spLocks noChangeShapeType="1"/>
        </xdr:cNvSpPr>
      </xdr:nvSpPr>
      <xdr:spPr bwMode="auto">
        <a:xfrm>
          <a:off x="12420600" y="2400300"/>
          <a:ext cx="238125"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314325</xdr:colOff>
      <xdr:row>12</xdr:row>
      <xdr:rowOff>161925</xdr:rowOff>
    </xdr:from>
    <xdr:to>
      <xdr:col>14</xdr:col>
      <xdr:colOff>542925</xdr:colOff>
      <xdr:row>12</xdr:row>
      <xdr:rowOff>161925</xdr:rowOff>
    </xdr:to>
    <xdr:sp macro="" textlink="">
      <xdr:nvSpPr>
        <xdr:cNvPr id="565625" name="Line 7290">
          <a:extLst>
            <a:ext uri="{FF2B5EF4-FFF2-40B4-BE49-F238E27FC236}">
              <a16:creationId xmlns:a16="http://schemas.microsoft.com/office/drawing/2014/main" id="{C37D9F70-5960-4C27-AAF8-62E8B08D55CF}"/>
            </a:ext>
          </a:extLst>
        </xdr:cNvPr>
        <xdr:cNvSpPr>
          <a:spLocks noChangeShapeType="1"/>
        </xdr:cNvSpPr>
      </xdr:nvSpPr>
      <xdr:spPr bwMode="auto">
        <a:xfrm>
          <a:off x="9639300" y="2381250"/>
          <a:ext cx="22860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14</xdr:col>
      <xdr:colOff>28575</xdr:colOff>
      <xdr:row>16</xdr:row>
      <xdr:rowOff>9525</xdr:rowOff>
    </xdr:from>
    <xdr:ext cx="709425" cy="179601"/>
    <xdr:sp macro="" textlink="">
      <xdr:nvSpPr>
        <xdr:cNvPr id="385147" name="Text Box 7291">
          <a:extLst>
            <a:ext uri="{FF2B5EF4-FFF2-40B4-BE49-F238E27FC236}">
              <a16:creationId xmlns:a16="http://schemas.microsoft.com/office/drawing/2014/main" id="{75ED0076-F0F5-4DF2-A725-03A36A76DD71}"/>
            </a:ext>
          </a:extLst>
        </xdr:cNvPr>
        <xdr:cNvSpPr txBox="1">
          <a:spLocks noChangeArrowheads="1"/>
        </xdr:cNvSpPr>
      </xdr:nvSpPr>
      <xdr:spPr bwMode="auto">
        <a:xfrm>
          <a:off x="9353550" y="2914650"/>
          <a:ext cx="709425" cy="179601"/>
        </a:xfrm>
        <a:prstGeom prst="rect">
          <a:avLst/>
        </a:prstGeom>
        <a:noFill/>
        <a:ln>
          <a:noFill/>
        </a:ln>
      </xdr:spPr>
      <xdr:txBody>
        <a:bodyPr wrap="none" lIns="18288" tIns="22860" rIns="0" bIns="0" anchor="t" upright="1">
          <a:spAutoFit/>
        </a:bodyPr>
        <a:lstStyle/>
        <a:p>
          <a:pPr algn="l" rtl="0">
            <a:defRPr sz="1000"/>
          </a:pPr>
          <a:r>
            <a:rPr lang="en-AU" sz="1000" b="1" i="0" u="none" strike="noStrike" baseline="0">
              <a:solidFill>
                <a:srgbClr val="000000"/>
              </a:solidFill>
              <a:latin typeface="Arial"/>
              <a:cs typeface="Arial"/>
            </a:rPr>
            <a:t>CMD RCVR</a:t>
          </a:r>
          <a:endParaRPr lang="en-AU"/>
        </a:p>
      </xdr:txBody>
    </xdr:sp>
    <xdr:clientData/>
  </xdr:oneCellAnchor>
  <xdr:oneCellAnchor>
    <xdr:from>
      <xdr:col>16</xdr:col>
      <xdr:colOff>885825</xdr:colOff>
      <xdr:row>15</xdr:row>
      <xdr:rowOff>66675</xdr:rowOff>
    </xdr:from>
    <xdr:ext cx="680956" cy="179601"/>
    <xdr:sp macro="" textlink="">
      <xdr:nvSpPr>
        <xdr:cNvPr id="385148" name="Text Box 7292">
          <a:extLst>
            <a:ext uri="{FF2B5EF4-FFF2-40B4-BE49-F238E27FC236}">
              <a16:creationId xmlns:a16="http://schemas.microsoft.com/office/drawing/2014/main" id="{DF4945D2-27BB-4A0C-8472-FA8EB4EC82A8}"/>
            </a:ext>
          </a:extLst>
        </xdr:cNvPr>
        <xdr:cNvSpPr txBox="1">
          <a:spLocks noChangeArrowheads="1"/>
        </xdr:cNvSpPr>
      </xdr:nvSpPr>
      <xdr:spPr bwMode="auto">
        <a:xfrm>
          <a:off x="12363450" y="2800350"/>
          <a:ext cx="680956" cy="179601"/>
        </a:xfrm>
        <a:prstGeom prst="rect">
          <a:avLst/>
        </a:prstGeom>
        <a:noFill/>
        <a:ln>
          <a:noFill/>
        </a:ln>
      </xdr:spPr>
      <xdr:txBody>
        <a:bodyPr wrap="none" lIns="18288" tIns="22860" rIns="0" bIns="0" anchor="t" upright="1">
          <a:spAutoFit/>
        </a:bodyPr>
        <a:lstStyle/>
        <a:p>
          <a:pPr algn="l" rtl="0">
            <a:defRPr sz="1000"/>
          </a:pPr>
          <a:r>
            <a:rPr lang="en-AU" sz="1000" b="1" i="0" u="none" strike="noStrike" baseline="0">
              <a:solidFill>
                <a:srgbClr val="000000"/>
              </a:solidFill>
              <a:latin typeface="Arial"/>
              <a:cs typeface="Arial"/>
            </a:rPr>
            <a:t>TLM XMTR</a:t>
          </a:r>
          <a:endParaRPr lang="en-AU"/>
        </a:p>
      </xdr:txBody>
    </xdr:sp>
    <xdr:clientData/>
  </xdr:oneCellAnchor>
  <xdr:twoCellAnchor>
    <xdr:from>
      <xdr:col>15</xdr:col>
      <xdr:colOff>219075</xdr:colOff>
      <xdr:row>6</xdr:row>
      <xdr:rowOff>38100</xdr:rowOff>
    </xdr:from>
    <xdr:to>
      <xdr:col>16</xdr:col>
      <xdr:colOff>561975</xdr:colOff>
      <xdr:row>9</xdr:row>
      <xdr:rowOff>57150</xdr:rowOff>
    </xdr:to>
    <xdr:sp macro="" textlink="">
      <xdr:nvSpPr>
        <xdr:cNvPr id="385149" name="Rectangle 7293">
          <a:extLst>
            <a:ext uri="{FF2B5EF4-FFF2-40B4-BE49-F238E27FC236}">
              <a16:creationId xmlns:a16="http://schemas.microsoft.com/office/drawing/2014/main" id="{70C70FA3-475D-4768-A1C6-923D78DFBD83}"/>
            </a:ext>
          </a:extLst>
        </xdr:cNvPr>
        <xdr:cNvSpPr>
          <a:spLocks noChangeArrowheads="1"/>
        </xdr:cNvSpPr>
      </xdr:nvSpPr>
      <xdr:spPr bwMode="auto">
        <a:xfrm>
          <a:off x="10572750" y="1228725"/>
          <a:ext cx="1419225" cy="533400"/>
        </a:xfrm>
        <a:prstGeom prst="rect">
          <a:avLst/>
        </a:prstGeom>
        <a:solidFill>
          <a:srgbClr val="FFCC00"/>
        </a:solidFill>
        <a:ln w="9525">
          <a:solidFill>
            <a:srgbClr val="000000"/>
          </a:solidFill>
          <a:miter lim="800000"/>
          <a:headEnd/>
          <a:tailEnd/>
        </a:ln>
      </xdr:spPr>
      <xdr:txBody>
        <a:bodyPr vertOverflow="clip" wrap="square" lIns="27432" tIns="22860" rIns="27432" bIns="0" anchor="t" upright="1"/>
        <a:lstStyle/>
        <a:p>
          <a:pPr algn="ctr" rtl="0">
            <a:defRPr sz="1000"/>
          </a:pPr>
          <a:endParaRPr lang="en-AU" sz="1000" b="1" i="0" u="none" strike="noStrike" baseline="0">
            <a:solidFill>
              <a:srgbClr val="000000"/>
            </a:solidFill>
            <a:latin typeface="Arial"/>
            <a:cs typeface="Arial"/>
          </a:endParaRPr>
        </a:p>
        <a:p>
          <a:pPr algn="ctr" rtl="0">
            <a:defRPr sz="1000"/>
          </a:pPr>
          <a:r>
            <a:rPr lang="en-AU" sz="1000" b="1" i="0" u="none" strike="noStrike" baseline="0">
              <a:solidFill>
                <a:srgbClr val="000000"/>
              </a:solidFill>
              <a:latin typeface="Arial"/>
              <a:cs typeface="Arial"/>
            </a:rPr>
            <a:t>S/C Flight or Payload Computer</a:t>
          </a:r>
          <a:endParaRPr lang="en-AU"/>
        </a:p>
      </xdr:txBody>
    </xdr:sp>
    <xdr:clientData/>
  </xdr:twoCellAnchor>
  <xdr:twoCellAnchor>
    <xdr:from>
      <xdr:col>15</xdr:col>
      <xdr:colOff>361950</xdr:colOff>
      <xdr:row>12</xdr:row>
      <xdr:rowOff>152400</xdr:rowOff>
    </xdr:from>
    <xdr:to>
      <xdr:col>15</xdr:col>
      <xdr:colOff>666750</xdr:colOff>
      <xdr:row>12</xdr:row>
      <xdr:rowOff>152400</xdr:rowOff>
    </xdr:to>
    <xdr:sp macro="" textlink="">
      <xdr:nvSpPr>
        <xdr:cNvPr id="565629" name="Line 7295">
          <a:extLst>
            <a:ext uri="{FF2B5EF4-FFF2-40B4-BE49-F238E27FC236}">
              <a16:creationId xmlns:a16="http://schemas.microsoft.com/office/drawing/2014/main" id="{AB001E6D-149F-406F-A169-FA7E18992066}"/>
            </a:ext>
          </a:extLst>
        </xdr:cNvPr>
        <xdr:cNvSpPr>
          <a:spLocks noChangeShapeType="1"/>
        </xdr:cNvSpPr>
      </xdr:nvSpPr>
      <xdr:spPr bwMode="auto">
        <a:xfrm>
          <a:off x="10763250" y="2371725"/>
          <a:ext cx="304800"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838200</xdr:colOff>
      <xdr:row>12</xdr:row>
      <xdr:rowOff>152400</xdr:rowOff>
    </xdr:from>
    <xdr:to>
      <xdr:col>16</xdr:col>
      <xdr:colOff>9525</xdr:colOff>
      <xdr:row>12</xdr:row>
      <xdr:rowOff>152400</xdr:rowOff>
    </xdr:to>
    <xdr:sp macro="" textlink="">
      <xdr:nvSpPr>
        <xdr:cNvPr id="565630" name="Line 7296">
          <a:extLst>
            <a:ext uri="{FF2B5EF4-FFF2-40B4-BE49-F238E27FC236}">
              <a16:creationId xmlns:a16="http://schemas.microsoft.com/office/drawing/2014/main" id="{39ECF752-8594-4D3E-B6A4-BDDCCDF87BB0}"/>
            </a:ext>
          </a:extLst>
        </xdr:cNvPr>
        <xdr:cNvSpPr>
          <a:spLocks noChangeShapeType="1"/>
        </xdr:cNvSpPr>
      </xdr:nvSpPr>
      <xdr:spPr bwMode="auto">
        <a:xfrm>
          <a:off x="11239500" y="2371725"/>
          <a:ext cx="247650" cy="0"/>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657225</xdr:colOff>
      <xdr:row>9</xdr:row>
      <xdr:rowOff>57150</xdr:rowOff>
    </xdr:from>
    <xdr:to>
      <xdr:col>15</xdr:col>
      <xdr:colOff>657225</xdr:colOff>
      <xdr:row>12</xdr:row>
      <xdr:rowOff>142875</xdr:rowOff>
    </xdr:to>
    <xdr:sp macro="" textlink="">
      <xdr:nvSpPr>
        <xdr:cNvPr id="565631" name="Line 7297">
          <a:extLst>
            <a:ext uri="{FF2B5EF4-FFF2-40B4-BE49-F238E27FC236}">
              <a16:creationId xmlns:a16="http://schemas.microsoft.com/office/drawing/2014/main" id="{41348971-3661-4DB4-A1A2-7FCBFDE38DC2}"/>
            </a:ext>
          </a:extLst>
        </xdr:cNvPr>
        <xdr:cNvSpPr>
          <a:spLocks noChangeShapeType="1"/>
        </xdr:cNvSpPr>
      </xdr:nvSpPr>
      <xdr:spPr bwMode="auto">
        <a:xfrm flipV="1">
          <a:off x="11058525" y="1762125"/>
          <a:ext cx="0" cy="600075"/>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847725</xdr:colOff>
      <xdr:row>9</xdr:row>
      <xdr:rowOff>57150</xdr:rowOff>
    </xdr:from>
    <xdr:to>
      <xdr:col>15</xdr:col>
      <xdr:colOff>847725</xdr:colOff>
      <xdr:row>12</xdr:row>
      <xdr:rowOff>152400</xdr:rowOff>
    </xdr:to>
    <xdr:sp macro="" textlink="">
      <xdr:nvSpPr>
        <xdr:cNvPr id="565632" name="Line 7298">
          <a:extLst>
            <a:ext uri="{FF2B5EF4-FFF2-40B4-BE49-F238E27FC236}">
              <a16:creationId xmlns:a16="http://schemas.microsoft.com/office/drawing/2014/main" id="{BC4F8191-681B-4E7B-A039-F3EF532FEEE5}"/>
            </a:ext>
          </a:extLst>
        </xdr:cNvPr>
        <xdr:cNvSpPr>
          <a:spLocks noChangeShapeType="1"/>
        </xdr:cNvSpPr>
      </xdr:nvSpPr>
      <xdr:spPr bwMode="auto">
        <a:xfrm>
          <a:off x="11249025" y="1762125"/>
          <a:ext cx="0" cy="60960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533400</xdr:colOff>
      <xdr:row>12</xdr:row>
      <xdr:rowOff>152400</xdr:rowOff>
    </xdr:from>
    <xdr:to>
      <xdr:col>15</xdr:col>
      <xdr:colOff>533400</xdr:colOff>
      <xdr:row>21</xdr:row>
      <xdr:rowOff>161925</xdr:rowOff>
    </xdr:to>
    <xdr:sp macro="" textlink="">
      <xdr:nvSpPr>
        <xdr:cNvPr id="565633" name="Line 7299">
          <a:extLst>
            <a:ext uri="{FF2B5EF4-FFF2-40B4-BE49-F238E27FC236}">
              <a16:creationId xmlns:a16="http://schemas.microsoft.com/office/drawing/2014/main" id="{7FCF014B-1554-47AD-96E4-965106783D0B}"/>
            </a:ext>
          </a:extLst>
        </xdr:cNvPr>
        <xdr:cNvSpPr>
          <a:spLocks noChangeShapeType="1"/>
        </xdr:cNvSpPr>
      </xdr:nvSpPr>
      <xdr:spPr bwMode="auto">
        <a:xfrm>
          <a:off x="10934700" y="2371725"/>
          <a:ext cx="0" cy="15621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persons/person.xml><?xml version="1.0" encoding="utf-8"?>
<personList xmlns="http://schemas.microsoft.com/office/spreadsheetml/2018/threadedcomments" xmlns:x="http://schemas.openxmlformats.org/spreadsheetml/2006/main">
  <person displayName="King" id="{1CDB7A0C-EBCE-44C5-8735-1EEED95635C1}" userId="King"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27" dT="2020-12-04T01:04:28.45" personId="{1CDB7A0C-EBCE-44C5-8735-1EEED95635C1}" id="{A0DD6FDA-62AA-4EBB-828A-093FBA29FEF8}">
    <text>This is the angle between the S/C and the center of the Earth relative to the line of absidies (center of the Earth to apogee line).</text>
  </threadedComment>
  <threadedComment ref="J33" dT="2020-12-08T03:08:45.44" personId="{1CDB7A0C-EBCE-44C5-8735-1EEED95635C1}" id="{445C4D64-D944-4E66-956F-2DEA7ACC7143}">
    <text>The Antenna Roll-Off Angle is used to determine the pointing loss to this user at the selected elevation angle for both uplink and downlink beams.</text>
  </threadedComment>
</ThreadedComments>
</file>

<file path=xl/threadedComments/threadedComment2.xml><?xml version="1.0" encoding="utf-8"?>
<ThreadedComments xmlns="http://schemas.microsoft.com/office/spreadsheetml/2018/threadedcomments" xmlns:x="http://schemas.openxmlformats.org/spreadsheetml/2006/main">
  <threadedComment ref="B29" dT="2020-11-26T05:03:46.17" personId="{1CDB7A0C-EBCE-44C5-8735-1EEED95635C1}" id="{D457792A-0D30-44C8-A52A-0E83D7C037A4}">
    <text>This page gives a list of potential Earth Stations that will be used for your project or are potentially to be selected.  The Earth station data includes its location (LAT/LON/ALT) and the TX and RX critical performance data for all frequency bands used in the project.  The Earth Station to be evaluated for this link model is selected at Cell [B26].  This selection is confirmed in Row 26 in Cell [C6 thru G6].  This data is then distributed to Tab 3-Link Scenario Planner and Tabs  11A and 11B the Rain Model analysis.  By simply swapping Earth Stations from this list you can immediately observe the rain and atmospheric effects for two different locations, while keeping all other link parameters the same.  The perfromance data here is NOT transferred to other locations inthe workbook, so, as such they are not used.  Still this worksheet is a hand means to summarize the TX and RX characteristics of your ground network.</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I62"/>
  <sheetViews>
    <sheetView zoomScale="120" zoomScaleNormal="120" workbookViewId="0">
      <selection activeCell="N12" sqref="N12"/>
    </sheetView>
  </sheetViews>
  <sheetFormatPr baseColWidth="10" defaultColWidth="8.83203125" defaultRowHeight="13"/>
  <cols>
    <col min="5" max="5" width="17" customWidth="1"/>
    <col min="6" max="6" width="64.1640625" customWidth="1"/>
    <col min="9" max="9" width="3" customWidth="1"/>
    <col min="10" max="10" width="1.5" customWidth="1"/>
    <col min="13" max="13" width="10.83203125" customWidth="1"/>
    <col min="16" max="16" width="9.5" customWidth="1"/>
  </cols>
  <sheetData>
    <row r="1" spans="1:35" ht="26" thickBot="1">
      <c r="A1" s="921" t="s">
        <v>661</v>
      </c>
      <c r="B1" s="317" t="s">
        <v>591</v>
      </c>
      <c r="C1" s="59"/>
      <c r="D1" s="61"/>
      <c r="E1" s="60"/>
      <c r="F1" s="493" t="s">
        <v>542</v>
      </c>
      <c r="G1" s="204" t="s">
        <v>793</v>
      </c>
      <c r="H1" s="149"/>
      <c r="I1" s="952" t="s">
        <v>317</v>
      </c>
      <c r="J1" s="953"/>
      <c r="K1" s="953"/>
      <c r="L1" s="953"/>
      <c r="M1" s="954"/>
      <c r="N1" s="48"/>
      <c r="O1" s="49"/>
      <c r="P1" s="49" t="s">
        <v>3</v>
      </c>
      <c r="Q1" s="49" t="s">
        <v>3</v>
      </c>
      <c r="R1" s="49" t="s">
        <v>3</v>
      </c>
      <c r="S1" s="49" t="s">
        <v>3</v>
      </c>
      <c r="T1" s="49" t="s">
        <v>3</v>
      </c>
      <c r="U1" s="49" t="s">
        <v>3</v>
      </c>
      <c r="V1" s="49" t="s">
        <v>3</v>
      </c>
      <c r="W1" s="49" t="s">
        <v>3</v>
      </c>
      <c r="X1" s="49" t="s">
        <v>3</v>
      </c>
      <c r="Y1" s="49" t="s">
        <v>3</v>
      </c>
      <c r="Z1" s="49" t="s">
        <v>3</v>
      </c>
      <c r="AA1" s="49" t="s">
        <v>3</v>
      </c>
    </row>
    <row r="2" spans="1:35" ht="25">
      <c r="A2" s="42"/>
      <c r="B2" s="37" t="s">
        <v>95</v>
      </c>
      <c r="C2" s="43"/>
      <c r="D2" s="43"/>
      <c r="E2" s="955" t="s">
        <v>679</v>
      </c>
      <c r="F2" s="956"/>
      <c r="G2" s="956"/>
      <c r="H2" s="956"/>
      <c r="I2" s="36"/>
      <c r="J2" s="36"/>
      <c r="K2" s="36"/>
      <c r="L2" s="36"/>
      <c r="M2" s="36"/>
      <c r="N2" s="36"/>
      <c r="O2" s="36"/>
      <c r="P2" s="36"/>
      <c r="Q2" s="36"/>
      <c r="R2" s="36"/>
      <c r="S2" s="36"/>
      <c r="T2" s="36"/>
      <c r="U2" s="36"/>
      <c r="V2" s="36"/>
      <c r="W2" s="36"/>
      <c r="X2" s="36"/>
      <c r="Y2" s="36"/>
      <c r="Z2" s="36"/>
      <c r="AA2" s="36"/>
    </row>
    <row r="3" spans="1:35" ht="25">
      <c r="A3" s="42"/>
      <c r="B3" s="37" t="s">
        <v>77</v>
      </c>
      <c r="C3" s="43"/>
      <c r="D3" s="43"/>
      <c r="E3" s="43"/>
      <c r="F3" s="235" t="s">
        <v>680</v>
      </c>
      <c r="G3" s="44"/>
      <c r="H3" s="36"/>
      <c r="I3" s="36"/>
      <c r="J3" s="36"/>
      <c r="K3" s="36"/>
      <c r="L3" s="36"/>
      <c r="M3" s="36"/>
      <c r="N3" s="36"/>
      <c r="O3" s="36"/>
      <c r="P3" s="36"/>
      <c r="Q3" s="36"/>
      <c r="R3" s="36"/>
      <c r="S3" s="36"/>
      <c r="T3" s="36"/>
      <c r="U3" s="36"/>
      <c r="V3" s="36"/>
      <c r="W3" s="36"/>
      <c r="X3" s="36"/>
      <c r="Y3" s="36"/>
      <c r="Z3" s="36"/>
      <c r="AA3" s="36"/>
    </row>
    <row r="4" spans="1:35">
      <c r="A4" s="50" t="s">
        <v>778</v>
      </c>
      <c r="B4" s="1"/>
      <c r="C4" s="1"/>
      <c r="D4" s="1"/>
      <c r="E4" s="1"/>
      <c r="F4" s="1"/>
      <c r="G4" s="1"/>
      <c r="H4" s="1"/>
      <c r="I4" s="1"/>
      <c r="J4" s="1"/>
      <c r="K4" s="1"/>
      <c r="L4" s="1"/>
      <c r="M4" s="1"/>
      <c r="N4" s="1"/>
      <c r="O4" s="1"/>
      <c r="P4" s="1"/>
      <c r="Q4" s="1"/>
      <c r="R4" s="1"/>
      <c r="S4" s="1"/>
      <c r="T4" s="1"/>
      <c r="U4" s="1"/>
      <c r="V4" s="1"/>
      <c r="W4" s="1"/>
      <c r="X4" s="1"/>
      <c r="Y4" s="1"/>
      <c r="Z4" s="1"/>
      <c r="AA4" s="1"/>
    </row>
    <row r="5" spans="1:35">
      <c r="A5" s="2"/>
      <c r="B5" s="2"/>
      <c r="C5" s="2"/>
      <c r="D5" s="2"/>
      <c r="E5" s="2"/>
      <c r="F5" s="2"/>
      <c r="G5" s="51" t="s">
        <v>80</v>
      </c>
      <c r="H5" s="51"/>
      <c r="I5" s="3" t="s">
        <v>3</v>
      </c>
      <c r="J5" s="2"/>
      <c r="K5" s="2"/>
      <c r="L5" s="2"/>
      <c r="M5" s="2"/>
      <c r="N5" s="2"/>
      <c r="O5" s="2"/>
      <c r="P5" s="2"/>
      <c r="Q5" s="2"/>
      <c r="R5" s="2"/>
      <c r="S5" s="2"/>
      <c r="T5" s="2"/>
      <c r="U5" s="2"/>
      <c r="V5" s="2"/>
      <c r="W5" s="2"/>
      <c r="X5" s="2"/>
      <c r="Y5" s="2"/>
      <c r="Z5" s="2"/>
      <c r="AA5" s="2"/>
    </row>
    <row r="6" spans="1:35" ht="14" thickBot="1">
      <c r="A6" s="2"/>
      <c r="B6" s="52" t="s">
        <v>81</v>
      </c>
      <c r="C6" s="2"/>
      <c r="D6" s="2"/>
      <c r="E6" s="2"/>
      <c r="F6" s="2" t="s">
        <v>437</v>
      </c>
      <c r="G6" s="2"/>
      <c r="H6" s="2"/>
      <c r="I6" s="2"/>
      <c r="J6" s="2"/>
      <c r="K6" s="53" t="s">
        <v>82</v>
      </c>
      <c r="L6" s="2"/>
      <c r="M6" s="2"/>
      <c r="N6" s="2"/>
      <c r="O6" s="2"/>
      <c r="P6" s="2"/>
      <c r="Q6" s="2"/>
      <c r="R6" s="2"/>
      <c r="S6" s="2"/>
      <c r="T6" s="2"/>
      <c r="U6" s="2"/>
      <c r="V6" s="2"/>
      <c r="W6" s="2"/>
      <c r="X6" s="2"/>
      <c r="Y6" s="2"/>
      <c r="Z6" s="2"/>
      <c r="AA6" s="2"/>
    </row>
    <row r="7" spans="1:35" ht="17" thickBot="1">
      <c r="A7" s="2"/>
      <c r="B7" s="2"/>
      <c r="C7" s="2"/>
      <c r="D7" s="3" t="s">
        <v>72</v>
      </c>
      <c r="E7" s="2"/>
      <c r="F7" s="4" t="s">
        <v>801</v>
      </c>
      <c r="G7" s="2"/>
      <c r="H7" s="2"/>
      <c r="I7" s="22" t="s">
        <v>16</v>
      </c>
      <c r="J7" s="2"/>
      <c r="K7" s="2" t="s">
        <v>84</v>
      </c>
      <c r="L7" s="2"/>
      <c r="M7" s="2"/>
      <c r="N7" s="2"/>
      <c r="O7" s="2"/>
      <c r="P7" s="2"/>
      <c r="Q7" s="2"/>
      <c r="R7" s="2"/>
      <c r="S7" s="2"/>
      <c r="T7" s="2"/>
      <c r="U7" s="2"/>
      <c r="V7" s="2"/>
      <c r="W7" s="2"/>
      <c r="X7" s="2"/>
      <c r="Y7" s="2"/>
      <c r="Z7" s="2"/>
      <c r="AA7" s="2"/>
    </row>
    <row r="8" spans="1:35" ht="16">
      <c r="A8" s="2"/>
      <c r="B8" s="2"/>
      <c r="C8" s="2"/>
      <c r="D8" s="2"/>
      <c r="E8" s="2"/>
      <c r="F8" s="5"/>
      <c r="G8" s="2"/>
      <c r="H8" s="2"/>
      <c r="I8" s="2"/>
      <c r="J8" s="2"/>
      <c r="K8" s="2"/>
      <c r="L8" s="2"/>
      <c r="M8" s="2"/>
      <c r="N8" s="2"/>
      <c r="O8" s="2"/>
      <c r="P8" s="2"/>
      <c r="Q8" s="2"/>
      <c r="R8" s="2"/>
      <c r="S8" s="2"/>
      <c r="T8" s="2"/>
      <c r="U8" s="2"/>
      <c r="V8" s="2"/>
      <c r="W8" s="2"/>
      <c r="X8" s="2"/>
      <c r="Y8" s="2"/>
      <c r="Z8" s="2"/>
      <c r="AA8" s="2"/>
      <c r="AI8" t="s">
        <v>3</v>
      </c>
    </row>
    <row r="9" spans="1:35" ht="14" thickBot="1">
      <c r="A9" s="2"/>
      <c r="B9" s="53" t="s">
        <v>85</v>
      </c>
      <c r="C9" s="2"/>
      <c r="D9" s="2"/>
      <c r="E9" s="2"/>
      <c r="F9" s="10" t="s">
        <v>86</v>
      </c>
      <c r="G9" s="2"/>
      <c r="H9" s="2"/>
      <c r="I9" s="2"/>
      <c r="J9" s="2"/>
      <c r="K9" s="2"/>
      <c r="L9" s="2"/>
      <c r="M9" s="2"/>
      <c r="N9" s="2"/>
      <c r="O9" s="2"/>
      <c r="P9" s="2"/>
      <c r="Q9" s="2"/>
      <c r="R9" s="2"/>
      <c r="S9" s="2"/>
      <c r="T9" s="2"/>
      <c r="U9" s="2"/>
      <c r="V9" s="2"/>
      <c r="W9" s="2"/>
      <c r="X9" s="2"/>
      <c r="Y9" s="2"/>
      <c r="Z9" s="2"/>
      <c r="AA9" s="2"/>
    </row>
    <row r="10" spans="1:35" ht="17" thickBot="1">
      <c r="A10" s="2"/>
      <c r="B10" s="2"/>
      <c r="C10" s="2"/>
      <c r="D10" s="3" t="s">
        <v>73</v>
      </c>
      <c r="E10" s="2"/>
      <c r="F10" s="4" t="s">
        <v>800</v>
      </c>
      <c r="G10" s="2"/>
      <c r="H10" s="2"/>
      <c r="I10" s="22" t="s">
        <v>3</v>
      </c>
      <c r="J10" s="2"/>
      <c r="K10" s="54" t="s">
        <v>87</v>
      </c>
      <c r="L10" s="2"/>
      <c r="M10" s="2"/>
      <c r="N10" s="2"/>
      <c r="O10" s="2"/>
      <c r="P10" s="2"/>
      <c r="Q10" s="2"/>
      <c r="R10" s="2"/>
      <c r="S10" s="2"/>
      <c r="T10" s="2"/>
      <c r="U10" s="2"/>
      <c r="V10" s="2"/>
      <c r="W10" s="2"/>
      <c r="X10" s="2"/>
      <c r="Y10" s="2"/>
      <c r="Z10" s="2"/>
      <c r="AA10" s="2"/>
    </row>
    <row r="11" spans="1:35" ht="16">
      <c r="A11" s="2"/>
      <c r="B11" s="2"/>
      <c r="C11" s="2"/>
      <c r="D11" s="2"/>
      <c r="E11" s="2"/>
      <c r="F11" s="5"/>
      <c r="G11" s="2"/>
      <c r="H11" s="2"/>
      <c r="I11" s="2"/>
      <c r="J11" s="2"/>
      <c r="K11" s="2"/>
      <c r="L11" s="2"/>
      <c r="M11" s="2"/>
      <c r="N11" s="2"/>
      <c r="O11" s="2"/>
      <c r="P11" s="2"/>
      <c r="Q11" s="2"/>
      <c r="R11" s="2"/>
      <c r="S11" s="2"/>
      <c r="T11" s="2"/>
      <c r="U11" s="2"/>
      <c r="V11" s="2"/>
      <c r="W11" s="2"/>
      <c r="X11" s="2"/>
      <c r="Y11" s="2"/>
      <c r="Z11" s="2"/>
      <c r="AA11" s="2"/>
    </row>
    <row r="12" spans="1:35" ht="17" thickBot="1">
      <c r="A12" s="2"/>
      <c r="B12" s="2"/>
      <c r="C12" s="2"/>
      <c r="D12" s="2"/>
      <c r="E12" s="2"/>
      <c r="F12" s="5"/>
      <c r="G12" s="2"/>
      <c r="H12" s="2"/>
      <c r="I12" s="2"/>
      <c r="J12" s="2"/>
      <c r="K12" s="2"/>
      <c r="L12" s="2"/>
      <c r="M12" s="2"/>
      <c r="N12" s="54" t="s">
        <v>3</v>
      </c>
      <c r="O12" s="11"/>
      <c r="P12" s="2"/>
      <c r="Q12" s="2"/>
      <c r="R12" s="2"/>
      <c r="S12" s="2"/>
      <c r="T12" s="2"/>
      <c r="U12" s="2"/>
      <c r="V12" s="2"/>
      <c r="W12" s="2"/>
      <c r="X12" s="2"/>
      <c r="Y12" s="2"/>
      <c r="Z12" s="2"/>
      <c r="AA12" s="2"/>
    </row>
    <row r="13" spans="1:35" ht="17" thickBot="1">
      <c r="A13" s="2"/>
      <c r="B13" s="53" t="s">
        <v>88</v>
      </c>
      <c r="C13" s="2"/>
      <c r="D13" s="3" t="s">
        <v>0</v>
      </c>
      <c r="E13" s="2"/>
      <c r="F13" s="4" t="s">
        <v>795</v>
      </c>
      <c r="G13" s="2"/>
      <c r="H13" s="2"/>
      <c r="I13" s="2"/>
      <c r="J13" s="2"/>
      <c r="K13" s="2"/>
      <c r="L13" s="2"/>
      <c r="M13" s="2"/>
      <c r="N13" s="2" t="s">
        <v>3</v>
      </c>
      <c r="O13" s="2"/>
      <c r="P13" s="2"/>
      <c r="Q13" s="2"/>
      <c r="R13" s="2"/>
      <c r="S13" s="2"/>
      <c r="T13" s="2"/>
      <c r="U13" s="2"/>
      <c r="V13" s="2"/>
      <c r="W13" s="2"/>
      <c r="X13" s="2"/>
      <c r="Y13" s="2"/>
      <c r="Z13" s="2"/>
      <c r="AA13" s="2"/>
    </row>
    <row r="14" spans="1:35" ht="16">
      <c r="A14" s="2"/>
      <c r="B14" s="2"/>
      <c r="C14" s="2"/>
      <c r="D14" s="2"/>
      <c r="E14" s="2"/>
      <c r="F14" s="5"/>
      <c r="G14" s="2"/>
      <c r="H14" s="2"/>
      <c r="I14" s="2"/>
      <c r="J14" s="2"/>
      <c r="K14" s="2"/>
      <c r="L14" s="2"/>
      <c r="M14" s="2"/>
      <c r="N14" s="2"/>
      <c r="O14" s="2"/>
      <c r="P14" s="2"/>
      <c r="Q14" s="2"/>
      <c r="R14" s="2"/>
      <c r="S14" s="2"/>
      <c r="T14" s="2"/>
      <c r="U14" s="2"/>
      <c r="V14" s="2"/>
      <c r="W14" s="2"/>
      <c r="X14" s="2"/>
      <c r="Y14" s="2"/>
      <c r="Z14" s="2"/>
      <c r="AA14" s="2"/>
    </row>
    <row r="15" spans="1:35" ht="17" thickBot="1">
      <c r="A15" s="2"/>
      <c r="B15" s="2"/>
      <c r="C15" s="2"/>
      <c r="D15" s="2"/>
      <c r="E15" s="2"/>
      <c r="F15" s="5" t="s">
        <v>3</v>
      </c>
      <c r="G15" s="2"/>
      <c r="H15" s="2"/>
      <c r="I15" s="2"/>
      <c r="J15" s="2"/>
      <c r="K15" s="2"/>
      <c r="L15" s="2"/>
      <c r="M15" s="2"/>
      <c r="N15" s="2"/>
      <c r="O15" s="2"/>
      <c r="P15" s="2"/>
      <c r="Q15" s="2"/>
      <c r="R15" s="2"/>
      <c r="S15" s="2"/>
      <c r="T15" s="2"/>
      <c r="U15" s="2"/>
      <c r="V15" s="2"/>
      <c r="W15" s="2"/>
      <c r="X15" s="2"/>
      <c r="Y15" s="2"/>
      <c r="Z15" s="2"/>
      <c r="AA15" s="2"/>
    </row>
    <row r="16" spans="1:35" ht="16">
      <c r="A16" s="2"/>
      <c r="B16" s="55" t="s">
        <v>89</v>
      </c>
      <c r="C16" s="2"/>
      <c r="D16" s="3" t="s">
        <v>75</v>
      </c>
      <c r="E16" s="2"/>
      <c r="F16" s="512" t="s">
        <v>796</v>
      </c>
      <c r="G16" s="2"/>
      <c r="H16" s="2"/>
      <c r="I16" s="2"/>
      <c r="J16" s="2"/>
      <c r="K16" s="2"/>
      <c r="L16" s="2"/>
      <c r="M16" s="2"/>
      <c r="N16" s="2"/>
      <c r="O16" s="2"/>
      <c r="P16" s="2"/>
      <c r="Q16" s="2"/>
      <c r="R16" s="2"/>
      <c r="S16" s="2"/>
      <c r="T16" s="2"/>
      <c r="U16" s="2"/>
      <c r="V16" s="2"/>
      <c r="W16" s="2"/>
      <c r="X16" s="2"/>
      <c r="Y16" s="2"/>
      <c r="Z16" s="2"/>
      <c r="AA16" s="2"/>
    </row>
    <row r="17" spans="1:27" ht="17" thickBot="1">
      <c r="A17" s="2"/>
      <c r="B17" s="2"/>
      <c r="C17" s="2"/>
      <c r="D17" s="3" t="s">
        <v>74</v>
      </c>
      <c r="E17" s="2"/>
      <c r="F17" s="6" t="s">
        <v>797</v>
      </c>
      <c r="G17" s="2"/>
      <c r="H17" s="2"/>
      <c r="I17" s="2"/>
      <c r="J17" s="2"/>
      <c r="K17" s="2"/>
      <c r="L17" s="2"/>
      <c r="M17" s="2"/>
      <c r="N17" s="2"/>
      <c r="O17" s="2"/>
      <c r="P17" s="2"/>
      <c r="Q17" s="2"/>
      <c r="R17" s="2"/>
      <c r="S17" s="2"/>
      <c r="T17" s="2"/>
      <c r="U17" s="2"/>
      <c r="V17" s="2"/>
      <c r="W17" s="2"/>
      <c r="X17" s="2"/>
      <c r="Y17" s="2"/>
      <c r="Z17" s="2"/>
      <c r="AA17" s="2"/>
    </row>
    <row r="18" spans="1:27" ht="16">
      <c r="A18" s="2"/>
      <c r="B18" s="2"/>
      <c r="C18" s="2"/>
      <c r="D18" s="2"/>
      <c r="E18" s="2"/>
      <c r="F18" s="5" t="s">
        <v>3</v>
      </c>
      <c r="G18" s="2"/>
      <c r="H18" s="2"/>
      <c r="I18" s="2"/>
      <c r="J18" s="2"/>
      <c r="K18" s="2"/>
      <c r="L18" s="2"/>
      <c r="M18" s="2"/>
      <c r="N18" s="2"/>
      <c r="O18" s="2"/>
      <c r="P18" s="2"/>
      <c r="Q18" s="2"/>
      <c r="R18" s="2"/>
      <c r="S18" s="2"/>
      <c r="T18" s="2"/>
      <c r="U18" s="2"/>
      <c r="V18" s="2"/>
      <c r="W18" s="2"/>
      <c r="X18" s="2"/>
      <c r="Y18" s="2"/>
      <c r="Z18" s="2"/>
      <c r="AA18" s="2"/>
    </row>
    <row r="19" spans="1:27" ht="17" thickBot="1">
      <c r="A19" s="2"/>
      <c r="B19" s="2"/>
      <c r="C19" s="2"/>
      <c r="D19" s="2"/>
      <c r="E19" s="2"/>
      <c r="F19" s="5"/>
      <c r="G19" s="2"/>
      <c r="H19" s="2"/>
      <c r="I19" s="2"/>
      <c r="J19" s="2"/>
      <c r="K19" s="2"/>
      <c r="L19" s="2"/>
      <c r="M19" s="2"/>
      <c r="N19" s="2"/>
      <c r="O19" s="2"/>
      <c r="P19" s="2"/>
      <c r="Q19" s="2"/>
      <c r="R19" s="2"/>
      <c r="S19" s="2"/>
      <c r="T19" s="2"/>
      <c r="U19" s="2"/>
      <c r="V19" s="2"/>
      <c r="W19" s="2"/>
      <c r="X19" s="2"/>
      <c r="Y19" s="2"/>
      <c r="Z19" s="2"/>
      <c r="AA19" s="2"/>
    </row>
    <row r="20" spans="1:27" ht="15" thickBot="1">
      <c r="A20" s="2"/>
      <c r="B20" s="936" t="s">
        <v>90</v>
      </c>
      <c r="C20" s="2"/>
      <c r="D20" s="3" t="s">
        <v>1</v>
      </c>
      <c r="E20" s="2"/>
      <c r="F20" s="941" t="s">
        <v>798</v>
      </c>
      <c r="G20" s="2"/>
      <c r="H20" s="2"/>
      <c r="I20" s="22" t="s">
        <v>3</v>
      </c>
      <c r="J20" s="2"/>
      <c r="K20" s="593" t="s">
        <v>668</v>
      </c>
      <c r="L20" s="2"/>
      <c r="M20" s="2"/>
      <c r="N20" s="2"/>
      <c r="O20" s="2"/>
      <c r="P20" s="2"/>
      <c r="Q20" s="2"/>
      <c r="R20" s="2"/>
      <c r="S20" s="2"/>
      <c r="T20" s="2"/>
      <c r="U20" s="2"/>
      <c r="V20" s="2"/>
      <c r="W20" s="2"/>
      <c r="X20" s="2"/>
      <c r="Y20" s="2"/>
      <c r="Z20" s="2"/>
      <c r="AA20" s="2"/>
    </row>
    <row r="21" spans="1:27" ht="18" thickBot="1">
      <c r="A21" s="2"/>
      <c r="B21" s="2"/>
      <c r="C21" s="2"/>
      <c r="D21" s="2"/>
      <c r="E21" s="2"/>
      <c r="F21" s="346" t="s">
        <v>792</v>
      </c>
      <c r="G21" s="2"/>
      <c r="H21" s="2"/>
      <c r="I21" s="2"/>
      <c r="J21" s="2"/>
      <c r="K21" s="2"/>
      <c r="L21" s="2"/>
      <c r="M21" s="2"/>
      <c r="N21" s="2"/>
      <c r="O21" s="2"/>
      <c r="P21" s="2"/>
      <c r="Q21" s="2"/>
      <c r="R21" s="2"/>
      <c r="S21" s="2"/>
      <c r="T21" s="2"/>
      <c r="U21" s="2"/>
      <c r="V21" s="2"/>
      <c r="W21" s="2"/>
      <c r="X21" s="2"/>
      <c r="Y21" s="2"/>
      <c r="Z21" s="2"/>
      <c r="AA21" s="2"/>
    </row>
    <row r="22" spans="1:27" ht="17" thickBot="1">
      <c r="A22" s="2"/>
      <c r="B22" s="2"/>
      <c r="C22" s="2"/>
      <c r="D22" s="2"/>
      <c r="E22" s="2"/>
      <c r="F22" s="5"/>
      <c r="G22" s="2"/>
      <c r="H22" s="2"/>
      <c r="I22" s="2"/>
      <c r="J22" s="2"/>
      <c r="K22" s="2"/>
      <c r="L22" s="2"/>
      <c r="M22" s="2"/>
      <c r="N22" s="2"/>
      <c r="O22" s="2"/>
      <c r="P22" s="2"/>
      <c r="Q22" s="2"/>
      <c r="R22" s="2"/>
      <c r="S22" s="2"/>
      <c r="T22" s="2"/>
      <c r="U22" s="2"/>
      <c r="V22" s="2"/>
      <c r="W22" s="2"/>
      <c r="X22" s="2"/>
      <c r="Y22" s="2"/>
      <c r="Z22" s="2"/>
      <c r="AA22" s="2"/>
    </row>
    <row r="23" spans="1:27" ht="17" thickBot="1">
      <c r="A23" s="2"/>
      <c r="B23" s="2"/>
      <c r="C23" s="2"/>
      <c r="D23" s="3" t="s">
        <v>2</v>
      </c>
      <c r="E23" s="2"/>
      <c r="F23" s="236" t="s">
        <v>799</v>
      </c>
      <c r="G23" s="2" t="s">
        <v>3</v>
      </c>
      <c r="H23" s="2"/>
      <c r="I23" s="56" t="b">
        <f>AND(I7="X",I10="X",I20="X")</f>
        <v>0</v>
      </c>
      <c r="J23" s="2"/>
      <c r="K23" s="2" t="str">
        <f>IF(I23=TRUE, "Document Released", "Document Not Released")</f>
        <v>Document Not Released</v>
      </c>
      <c r="L23" s="2"/>
      <c r="M23" s="2"/>
      <c r="N23" s="2"/>
      <c r="O23" s="2"/>
      <c r="P23" s="2"/>
      <c r="Q23" s="2"/>
      <c r="R23" s="2"/>
      <c r="S23" s="2"/>
      <c r="T23" s="2"/>
      <c r="U23" s="2"/>
      <c r="V23" s="2"/>
      <c r="W23" s="2"/>
      <c r="X23" s="2"/>
      <c r="Y23" s="2"/>
      <c r="Z23" s="2"/>
      <c r="AA23" s="2"/>
    </row>
    <row r="24" spans="1:27">
      <c r="A24" s="2"/>
      <c r="B24" s="2"/>
      <c r="C24" s="2"/>
      <c r="D24" s="2"/>
      <c r="E24" s="2"/>
      <c r="F24" s="7"/>
      <c r="G24" s="2"/>
      <c r="H24" s="2"/>
      <c r="I24" s="57" t="s">
        <v>91</v>
      </c>
      <c r="J24" s="2"/>
      <c r="K24" s="2"/>
      <c r="L24" s="2"/>
      <c r="M24" s="2"/>
      <c r="N24" s="2"/>
      <c r="O24" s="2"/>
      <c r="P24" s="2"/>
      <c r="Q24" s="2"/>
      <c r="R24" s="2"/>
      <c r="S24" s="2"/>
      <c r="T24" s="2"/>
      <c r="U24" s="2"/>
      <c r="V24" s="2"/>
      <c r="W24" s="2"/>
      <c r="X24" s="2"/>
      <c r="Y24" s="2"/>
      <c r="Z24" s="2"/>
      <c r="AA24" s="2"/>
    </row>
    <row r="25" spans="1:27" ht="14" thickBot="1">
      <c r="A25" s="2"/>
      <c r="B25" s="53" t="s">
        <v>92</v>
      </c>
      <c r="C25" s="2"/>
      <c r="D25" s="2"/>
      <c r="E25" s="2"/>
      <c r="F25" s="7"/>
      <c r="G25" s="2"/>
      <c r="H25" s="2"/>
      <c r="I25" s="57" t="s">
        <v>93</v>
      </c>
      <c r="J25" s="2"/>
      <c r="K25" s="2"/>
      <c r="L25" s="2"/>
      <c r="M25" s="2"/>
      <c r="N25" s="2"/>
      <c r="O25" s="2"/>
      <c r="P25" s="2"/>
      <c r="Q25" s="2"/>
      <c r="R25" s="2"/>
      <c r="S25" s="2"/>
      <c r="T25" s="2"/>
      <c r="U25" s="2"/>
      <c r="V25" s="2"/>
      <c r="W25" s="2"/>
      <c r="X25" s="2"/>
      <c r="Y25" s="2"/>
      <c r="Z25" s="2"/>
      <c r="AA25" s="2"/>
    </row>
    <row r="26" spans="1:27" ht="17" thickBot="1">
      <c r="A26" s="2"/>
      <c r="B26" s="2"/>
      <c r="C26" s="2"/>
      <c r="D26" s="3" t="s">
        <v>79</v>
      </c>
      <c r="E26" s="2"/>
      <c r="F26" s="4" t="s">
        <v>788</v>
      </c>
      <c r="G26" s="2"/>
      <c r="H26" s="2"/>
      <c r="I26" s="2"/>
      <c r="J26" s="58"/>
      <c r="K26" s="53" t="s">
        <v>94</v>
      </c>
      <c r="L26" s="2"/>
      <c r="M26" s="2"/>
      <c r="N26" s="2"/>
      <c r="O26" s="2"/>
      <c r="P26" s="2"/>
      <c r="Q26" s="2"/>
      <c r="R26" s="2"/>
      <c r="S26" s="2"/>
      <c r="T26" s="2"/>
      <c r="U26" s="2"/>
      <c r="V26" s="2"/>
      <c r="W26" s="2"/>
      <c r="X26" s="2"/>
      <c r="Y26" s="2"/>
      <c r="Z26" s="2"/>
      <c r="AA26" s="2"/>
    </row>
    <row r="27" spans="1:27">
      <c r="A27" s="2"/>
      <c r="B27" s="2"/>
      <c r="C27" s="2"/>
      <c r="D27" s="3" t="s">
        <v>76</v>
      </c>
      <c r="E27" s="2"/>
      <c r="F27" s="2"/>
      <c r="G27" s="2"/>
      <c r="H27" s="2"/>
      <c r="I27" s="2"/>
      <c r="J27" s="2"/>
      <c r="K27" s="2"/>
      <c r="L27" s="2"/>
      <c r="M27" s="2"/>
      <c r="N27" s="2"/>
      <c r="O27" s="2"/>
      <c r="P27" s="2"/>
      <c r="Q27" s="2"/>
      <c r="R27" s="2"/>
      <c r="S27" s="2"/>
      <c r="T27" s="2"/>
      <c r="U27" s="2"/>
      <c r="V27" s="2"/>
      <c r="W27" s="2"/>
      <c r="X27" s="2"/>
      <c r="Y27" s="2"/>
      <c r="Z27" s="2"/>
      <c r="AA27" s="2"/>
    </row>
    <row r="28" spans="1:27">
      <c r="A28" s="2"/>
      <c r="B28" s="2"/>
      <c r="C28" s="2"/>
      <c r="D28" s="2"/>
      <c r="E28" s="2"/>
      <c r="F28" s="2"/>
      <c r="G28" s="2"/>
      <c r="H28" s="2"/>
      <c r="I28" s="2"/>
      <c r="J28" s="2"/>
      <c r="K28" s="2"/>
      <c r="L28" s="2"/>
      <c r="M28" s="2"/>
      <c r="N28" s="2"/>
      <c r="O28" s="2"/>
      <c r="P28" s="2"/>
      <c r="Q28" s="2"/>
      <c r="R28" s="2"/>
      <c r="S28" s="2"/>
      <c r="T28" s="2"/>
      <c r="U28" s="2"/>
      <c r="V28" s="2"/>
      <c r="W28" s="2"/>
      <c r="X28" s="2"/>
      <c r="Y28" s="2"/>
      <c r="Z28" s="2"/>
      <c r="AA28" s="2"/>
    </row>
    <row r="29" spans="1:27">
      <c r="A29" s="2"/>
      <c r="B29" s="2"/>
      <c r="C29" s="2"/>
      <c r="D29" s="2"/>
      <c r="E29" s="2"/>
      <c r="F29" s="2"/>
      <c r="G29" s="2"/>
      <c r="H29" s="2"/>
      <c r="I29" s="2"/>
      <c r="J29" s="2"/>
      <c r="K29" s="2"/>
      <c r="L29" s="2"/>
      <c r="M29" s="2"/>
      <c r="N29" s="2"/>
      <c r="O29" s="2"/>
      <c r="P29" s="2"/>
      <c r="Q29" s="2"/>
      <c r="R29" s="2"/>
      <c r="S29" s="2"/>
      <c r="T29" s="2"/>
      <c r="U29" s="2"/>
      <c r="V29" s="2"/>
      <c r="W29" s="2"/>
      <c r="X29" s="2"/>
      <c r="Y29" s="2"/>
      <c r="Z29" s="2"/>
      <c r="AA29" s="2"/>
    </row>
    <row r="30" spans="1:27">
      <c r="A30" s="2"/>
      <c r="B30" s="2"/>
      <c r="C30" s="2"/>
      <c r="D30" s="2"/>
      <c r="E30" s="2"/>
      <c r="F30" s="2"/>
      <c r="G30" s="2"/>
      <c r="H30" s="2"/>
      <c r="I30" s="2"/>
      <c r="J30" s="2"/>
      <c r="K30" s="2"/>
      <c r="L30" s="2"/>
      <c r="M30" s="2"/>
      <c r="N30" s="2"/>
      <c r="O30" s="2"/>
      <c r="P30" s="2"/>
      <c r="Q30" s="2"/>
      <c r="R30" s="2"/>
      <c r="S30" s="2"/>
      <c r="T30" s="2"/>
      <c r="U30" s="2"/>
      <c r="V30" s="2"/>
      <c r="W30" s="2"/>
      <c r="X30" s="2"/>
      <c r="Y30" s="2"/>
      <c r="Z30" s="2"/>
      <c r="AA30" s="2"/>
    </row>
    <row r="31" spans="1:27">
      <c r="A31" s="2"/>
      <c r="B31" s="2"/>
      <c r="C31" s="2"/>
      <c r="D31" s="2"/>
      <c r="E31" s="2"/>
      <c r="F31" s="2"/>
      <c r="G31" s="2"/>
      <c r="H31" s="2"/>
      <c r="I31" s="2"/>
      <c r="J31" s="2"/>
      <c r="K31" s="2"/>
      <c r="L31" s="2"/>
      <c r="M31" s="2"/>
      <c r="N31" s="2"/>
      <c r="O31" s="2"/>
      <c r="P31" s="2"/>
      <c r="Q31" s="2"/>
      <c r="R31" s="2"/>
      <c r="S31" s="2"/>
      <c r="T31" s="2"/>
      <c r="U31" s="2"/>
      <c r="V31" s="2"/>
      <c r="W31" s="2"/>
      <c r="X31" s="2"/>
      <c r="Y31" s="2"/>
      <c r="Z31" s="2"/>
      <c r="AA31" s="2"/>
    </row>
    <row r="32" spans="1:27">
      <c r="A32" s="2"/>
      <c r="B32" s="2"/>
      <c r="C32" s="2"/>
      <c r="D32" s="2"/>
      <c r="E32" s="2"/>
      <c r="F32" s="2"/>
      <c r="G32" s="2"/>
      <c r="H32" s="2"/>
      <c r="I32" s="2"/>
      <c r="J32" s="2"/>
      <c r="K32" s="2"/>
      <c r="L32" s="2"/>
      <c r="M32" s="2"/>
      <c r="N32" s="2"/>
      <c r="O32" s="2"/>
      <c r="P32" s="2"/>
      <c r="Q32" s="2"/>
      <c r="R32" s="2"/>
      <c r="S32" s="2"/>
      <c r="T32" s="2"/>
      <c r="U32" s="2"/>
      <c r="V32" s="2"/>
      <c r="W32" s="2"/>
      <c r="X32" s="2"/>
      <c r="Y32" s="2"/>
      <c r="Z32" s="2"/>
      <c r="AA32" s="2"/>
    </row>
    <row r="33" spans="1:27">
      <c r="A33" s="2"/>
      <c r="B33" s="2"/>
      <c r="C33" s="2"/>
      <c r="D33" s="2"/>
      <c r="E33" s="2"/>
      <c r="F33" s="2"/>
      <c r="G33" s="2"/>
      <c r="H33" s="2"/>
      <c r="I33" s="2"/>
      <c r="J33" s="2"/>
      <c r="K33" s="2"/>
      <c r="L33" s="2"/>
      <c r="M33" s="2"/>
      <c r="N33" s="2"/>
      <c r="O33" s="2"/>
      <c r="P33" s="2"/>
      <c r="Q33" s="2"/>
      <c r="R33" s="2"/>
      <c r="S33" s="2"/>
      <c r="T33" s="2"/>
      <c r="U33" s="2"/>
      <c r="V33" s="2"/>
      <c r="W33" s="2"/>
      <c r="X33" s="2"/>
      <c r="Y33" s="2"/>
      <c r="Z33" s="2"/>
      <c r="AA33" s="2"/>
    </row>
    <row r="34" spans="1:27">
      <c r="A34" s="2"/>
      <c r="B34" s="2"/>
      <c r="C34" s="2"/>
      <c r="D34" s="2"/>
      <c r="E34" s="2"/>
      <c r="F34" s="2"/>
      <c r="G34" s="2"/>
      <c r="H34" s="2"/>
      <c r="I34" s="2"/>
      <c r="J34" s="2"/>
      <c r="K34" s="2"/>
      <c r="L34" s="2"/>
      <c r="M34" s="2"/>
      <c r="N34" s="2"/>
      <c r="O34" s="2"/>
      <c r="P34" s="2"/>
      <c r="Q34" s="2"/>
      <c r="R34" s="2"/>
      <c r="S34" s="2"/>
      <c r="T34" s="2"/>
      <c r="U34" s="2"/>
      <c r="V34" s="2"/>
      <c r="W34" s="2"/>
      <c r="X34" s="2"/>
      <c r="Y34" s="2"/>
      <c r="Z34" s="2"/>
      <c r="AA34" s="2"/>
    </row>
    <row r="35" spans="1:27">
      <c r="A35" s="2"/>
      <c r="B35" s="2"/>
      <c r="C35" s="2"/>
      <c r="D35" s="2"/>
      <c r="E35" s="2"/>
      <c r="F35" s="2"/>
      <c r="G35" s="2"/>
      <c r="H35" s="2"/>
      <c r="I35" s="2"/>
      <c r="J35" s="2"/>
      <c r="K35" s="2"/>
      <c r="L35" s="2"/>
      <c r="M35" s="2"/>
      <c r="N35" s="2"/>
      <c r="O35" s="2"/>
      <c r="P35" s="2"/>
      <c r="Q35" s="2"/>
      <c r="R35" s="2"/>
      <c r="S35" s="2"/>
      <c r="T35" s="2"/>
      <c r="U35" s="2"/>
      <c r="V35" s="2"/>
      <c r="W35" s="2"/>
      <c r="X35" s="2"/>
      <c r="Y35" s="2"/>
      <c r="Z35" s="2"/>
      <c r="AA35" s="2"/>
    </row>
    <row r="36" spans="1:27">
      <c r="A36" s="2"/>
      <c r="B36" s="2"/>
      <c r="C36" s="2"/>
      <c r="D36" s="2"/>
      <c r="E36" s="2"/>
      <c r="F36" s="2"/>
      <c r="G36" s="2"/>
      <c r="H36" s="2"/>
      <c r="I36" s="2"/>
      <c r="J36" s="2"/>
      <c r="K36" s="2"/>
      <c r="L36" s="2"/>
      <c r="M36" s="2"/>
      <c r="N36" s="2"/>
      <c r="O36" s="2"/>
      <c r="P36" s="2"/>
      <c r="Q36" s="2"/>
      <c r="R36" s="2"/>
      <c r="S36" s="2"/>
      <c r="T36" s="2"/>
      <c r="U36" s="2"/>
      <c r="V36" s="2"/>
      <c r="W36" s="2"/>
      <c r="X36" s="2"/>
      <c r="Y36" s="2"/>
      <c r="Z36" s="2"/>
      <c r="AA36" s="2"/>
    </row>
    <row r="37" spans="1:27">
      <c r="A37" s="2"/>
      <c r="B37" s="2"/>
      <c r="C37" s="2"/>
      <c r="D37" s="2"/>
      <c r="E37" s="2"/>
      <c r="F37" s="2"/>
      <c r="G37" s="2"/>
      <c r="H37" s="2"/>
      <c r="I37" s="2"/>
      <c r="J37" s="2"/>
      <c r="K37" s="2"/>
      <c r="L37" s="2"/>
      <c r="M37" s="2"/>
      <c r="N37" s="2"/>
      <c r="O37" s="2"/>
      <c r="P37" s="2"/>
      <c r="Q37" s="2"/>
      <c r="R37" s="2"/>
      <c r="S37" s="2"/>
      <c r="T37" s="2"/>
      <c r="U37" s="2"/>
      <c r="V37" s="2"/>
      <c r="W37" s="2"/>
      <c r="X37" s="2"/>
      <c r="Y37" s="2"/>
      <c r="Z37" s="2"/>
      <c r="AA37" s="2"/>
    </row>
    <row r="38" spans="1:27">
      <c r="A38" s="2"/>
      <c r="B38" s="2"/>
      <c r="C38" s="2"/>
      <c r="D38" s="2"/>
      <c r="E38" s="2"/>
      <c r="F38" s="2"/>
      <c r="G38" s="2"/>
      <c r="H38" s="2"/>
      <c r="I38" s="2"/>
      <c r="J38" s="2"/>
      <c r="K38" s="2"/>
      <c r="L38" s="2"/>
      <c r="M38" s="2"/>
      <c r="N38" s="2"/>
      <c r="O38" s="2"/>
      <c r="P38" s="2"/>
      <c r="Q38" s="2"/>
      <c r="R38" s="2"/>
      <c r="S38" s="2"/>
      <c r="T38" s="2"/>
      <c r="U38" s="2"/>
      <c r="V38" s="2"/>
      <c r="W38" s="2"/>
      <c r="X38" s="2"/>
      <c r="Y38" s="2"/>
      <c r="Z38" s="2"/>
      <c r="AA38" s="2"/>
    </row>
    <row r="39" spans="1:27">
      <c r="A39" s="2"/>
      <c r="B39" s="2"/>
      <c r="C39" s="2"/>
      <c r="D39" s="2"/>
      <c r="E39" s="2"/>
      <c r="F39" s="2"/>
      <c r="G39" s="2"/>
      <c r="H39" s="2"/>
      <c r="I39" s="2"/>
      <c r="J39" s="2"/>
      <c r="K39" s="2"/>
      <c r="L39" s="2"/>
      <c r="M39" s="2"/>
      <c r="N39" s="2"/>
      <c r="O39" s="2"/>
      <c r="P39" s="2"/>
      <c r="Q39" s="2"/>
      <c r="R39" s="2"/>
      <c r="S39" s="2"/>
      <c r="T39" s="2"/>
      <c r="U39" s="2"/>
      <c r="V39" s="2"/>
      <c r="W39" s="2"/>
      <c r="X39" s="2"/>
      <c r="Y39" s="2"/>
      <c r="Z39" s="2"/>
      <c r="AA39" s="2"/>
    </row>
    <row r="40" spans="1:27">
      <c r="A40" s="2"/>
      <c r="B40" s="2"/>
      <c r="C40" s="2"/>
      <c r="D40" s="2"/>
      <c r="E40" s="2"/>
      <c r="F40" s="2"/>
      <c r="G40" s="2"/>
      <c r="H40" s="2"/>
      <c r="I40" s="2"/>
      <c r="J40" s="2"/>
      <c r="K40" s="2"/>
      <c r="L40" s="2"/>
      <c r="M40" s="2"/>
      <c r="N40" s="2"/>
      <c r="O40" s="2"/>
      <c r="P40" s="2"/>
      <c r="Q40" s="2"/>
      <c r="R40" s="2"/>
      <c r="S40" s="2"/>
      <c r="T40" s="2"/>
      <c r="U40" s="2"/>
      <c r="V40" s="2"/>
      <c r="W40" s="2"/>
      <c r="X40" s="2"/>
      <c r="Y40" s="2"/>
      <c r="Z40" s="2"/>
      <c r="AA40" s="2"/>
    </row>
    <row r="41" spans="1:27">
      <c r="A41" s="2"/>
      <c r="B41" s="2"/>
      <c r="C41" s="2"/>
      <c r="D41" s="2"/>
      <c r="E41" s="2"/>
      <c r="F41" s="2"/>
      <c r="G41" s="2"/>
      <c r="H41" s="2"/>
      <c r="I41" s="2"/>
      <c r="J41" s="2"/>
      <c r="K41" s="2"/>
      <c r="L41" s="2"/>
      <c r="M41" s="2"/>
      <c r="N41" s="2"/>
      <c r="O41" s="2"/>
      <c r="P41" s="2"/>
      <c r="Q41" s="2"/>
      <c r="R41" s="2"/>
      <c r="S41" s="2"/>
      <c r="T41" s="2"/>
      <c r="U41" s="2"/>
      <c r="V41" s="2"/>
      <c r="W41" s="2"/>
      <c r="X41" s="2"/>
      <c r="Y41" s="2"/>
      <c r="Z41" s="2"/>
      <c r="AA41" s="2"/>
    </row>
    <row r="42" spans="1:27">
      <c r="A42" s="2"/>
      <c r="B42" s="2"/>
      <c r="C42" s="2"/>
      <c r="D42" s="2"/>
      <c r="E42" s="2"/>
      <c r="F42" s="2"/>
      <c r="G42" s="2"/>
      <c r="H42" s="2"/>
      <c r="I42" s="2"/>
      <c r="J42" s="2"/>
      <c r="K42" s="2"/>
      <c r="L42" s="2"/>
      <c r="M42" s="2"/>
      <c r="N42" s="2"/>
      <c r="O42" s="2"/>
      <c r="P42" s="2"/>
      <c r="Q42" s="2"/>
      <c r="R42" s="2"/>
      <c r="S42" s="2"/>
      <c r="T42" s="2"/>
      <c r="U42" s="2"/>
      <c r="V42" s="2"/>
      <c r="W42" s="2"/>
      <c r="X42" s="2"/>
      <c r="Y42" s="2"/>
      <c r="Z42" s="2"/>
      <c r="AA42" s="2"/>
    </row>
    <row r="43" spans="1:27">
      <c r="A43" s="2"/>
      <c r="B43" s="2"/>
      <c r="C43" s="2"/>
      <c r="D43" s="2"/>
      <c r="E43" s="2"/>
      <c r="F43" s="2"/>
      <c r="G43" s="2"/>
      <c r="H43" s="2"/>
      <c r="I43" s="2"/>
      <c r="J43" s="2"/>
      <c r="K43" s="2"/>
      <c r="L43" s="2"/>
      <c r="M43" s="2"/>
      <c r="N43" s="2"/>
      <c r="O43" s="2"/>
      <c r="P43" s="2"/>
      <c r="Q43" s="2"/>
      <c r="R43" s="2"/>
      <c r="S43" s="2"/>
      <c r="T43" s="2"/>
      <c r="U43" s="2"/>
      <c r="V43" s="2"/>
      <c r="W43" s="2"/>
      <c r="X43" s="2"/>
      <c r="Y43" s="2"/>
      <c r="Z43" s="2"/>
      <c r="AA43" s="2"/>
    </row>
    <row r="44" spans="1:27">
      <c r="A44" s="2"/>
      <c r="B44" s="2"/>
      <c r="C44" s="2"/>
      <c r="D44" s="2"/>
      <c r="E44" s="2"/>
      <c r="F44" s="2"/>
      <c r="G44" s="2"/>
      <c r="H44" s="2"/>
      <c r="I44" s="2"/>
      <c r="J44" s="2"/>
      <c r="K44" s="2"/>
      <c r="L44" s="2"/>
      <c r="M44" s="2"/>
      <c r="N44" s="2"/>
      <c r="O44" s="2"/>
      <c r="P44" s="2"/>
      <c r="Q44" s="2"/>
      <c r="R44" s="2"/>
      <c r="S44" s="2"/>
      <c r="T44" s="2"/>
      <c r="U44" s="2"/>
      <c r="V44" s="2"/>
      <c r="W44" s="2"/>
      <c r="X44" s="2"/>
      <c r="Y44" s="2"/>
      <c r="Z44" s="2"/>
      <c r="AA44" s="2"/>
    </row>
    <row r="45" spans="1:27">
      <c r="A45" s="2"/>
      <c r="B45" s="2"/>
      <c r="C45" s="2"/>
      <c r="D45" s="2"/>
      <c r="E45" s="2"/>
      <c r="F45" s="2"/>
      <c r="G45" s="2"/>
      <c r="H45" s="2"/>
      <c r="I45" s="2"/>
      <c r="J45" s="2"/>
      <c r="K45" s="2"/>
      <c r="L45" s="2"/>
      <c r="M45" s="2"/>
      <c r="N45" s="2"/>
      <c r="O45" s="2"/>
      <c r="P45" s="2"/>
      <c r="Q45" s="2"/>
      <c r="R45" s="2"/>
      <c r="S45" s="2"/>
      <c r="T45" s="2"/>
      <c r="U45" s="2"/>
      <c r="V45" s="2"/>
      <c r="W45" s="2"/>
      <c r="X45" s="2"/>
      <c r="Y45" s="2"/>
      <c r="Z45" s="2"/>
      <c r="AA45" s="2"/>
    </row>
    <row r="46" spans="1:27">
      <c r="A46" s="2"/>
      <c r="B46" s="2"/>
      <c r="C46" s="2"/>
      <c r="D46" s="2"/>
      <c r="E46" s="2"/>
      <c r="F46" s="2"/>
      <c r="G46" s="2"/>
      <c r="H46" s="2"/>
      <c r="I46" s="2"/>
      <c r="J46" s="2"/>
      <c r="K46" s="2"/>
      <c r="L46" s="2"/>
      <c r="M46" s="2"/>
      <c r="N46" s="2"/>
      <c r="O46" s="2"/>
      <c r="P46" s="2"/>
      <c r="Q46" s="2"/>
      <c r="R46" s="2"/>
      <c r="S46" s="2"/>
      <c r="T46" s="2"/>
      <c r="U46" s="2"/>
      <c r="V46" s="2"/>
      <c r="W46" s="2"/>
      <c r="X46" s="2"/>
      <c r="Y46" s="2"/>
      <c r="Z46" s="2"/>
      <c r="AA46" s="2"/>
    </row>
    <row r="47" spans="1:27">
      <c r="A47" s="2"/>
      <c r="B47" s="2"/>
      <c r="C47" s="2"/>
      <c r="D47" s="2"/>
      <c r="E47" s="2"/>
      <c r="F47" s="2"/>
      <c r="G47" s="2"/>
      <c r="H47" s="2"/>
      <c r="I47" s="2"/>
      <c r="J47" s="2"/>
      <c r="K47" s="2"/>
      <c r="L47" s="2"/>
      <c r="M47" s="2"/>
      <c r="N47" s="2"/>
      <c r="O47" s="2"/>
      <c r="P47" s="2"/>
      <c r="Q47" s="2"/>
      <c r="R47" s="2"/>
      <c r="S47" s="2"/>
      <c r="T47" s="2"/>
      <c r="U47" s="2"/>
      <c r="V47" s="2"/>
      <c r="W47" s="2"/>
      <c r="X47" s="2"/>
      <c r="Y47" s="2"/>
      <c r="Z47" s="2"/>
      <c r="AA47" s="2"/>
    </row>
    <row r="48" spans="1:27">
      <c r="A48" s="2"/>
      <c r="B48" s="2"/>
      <c r="C48" s="2"/>
      <c r="D48" s="2"/>
      <c r="E48" s="2"/>
      <c r="F48" s="2"/>
      <c r="G48" s="2"/>
      <c r="H48" s="2"/>
      <c r="I48" s="2"/>
      <c r="J48" s="2"/>
      <c r="K48" s="2"/>
      <c r="L48" s="2"/>
      <c r="M48" s="2"/>
      <c r="N48" s="2"/>
      <c r="O48" s="2"/>
      <c r="P48" s="2"/>
      <c r="Q48" s="2"/>
      <c r="R48" s="2"/>
      <c r="S48" s="2"/>
      <c r="T48" s="2"/>
      <c r="U48" s="2"/>
      <c r="V48" s="2"/>
      <c r="W48" s="2"/>
      <c r="X48" s="2"/>
      <c r="Y48" s="2"/>
      <c r="Z48" s="2"/>
      <c r="AA48" s="2"/>
    </row>
    <row r="49" spans="1:27">
      <c r="A49" s="2"/>
      <c r="B49" s="2"/>
      <c r="C49" s="2"/>
      <c r="D49" s="2"/>
      <c r="E49" s="2"/>
      <c r="F49" s="2"/>
      <c r="G49" s="2"/>
      <c r="H49" s="2"/>
      <c r="I49" s="2"/>
      <c r="J49" s="2"/>
      <c r="K49" s="2"/>
      <c r="L49" s="2"/>
      <c r="M49" s="2"/>
      <c r="N49" s="2"/>
      <c r="O49" s="2"/>
      <c r="P49" s="2"/>
      <c r="Q49" s="2"/>
      <c r="R49" s="2"/>
      <c r="S49" s="2"/>
      <c r="T49" s="2"/>
      <c r="U49" s="2"/>
      <c r="V49" s="2"/>
      <c r="W49" s="2"/>
      <c r="X49" s="2"/>
      <c r="Y49" s="2"/>
      <c r="Z49" s="2"/>
      <c r="AA49" s="2"/>
    </row>
    <row r="50" spans="1:27">
      <c r="A50" s="2"/>
      <c r="B50" s="2"/>
      <c r="C50" s="2"/>
      <c r="D50" s="2"/>
      <c r="E50" s="2"/>
      <c r="F50" s="2"/>
      <c r="G50" s="2"/>
      <c r="H50" s="2"/>
      <c r="I50" s="2"/>
      <c r="J50" s="2"/>
      <c r="K50" s="2"/>
      <c r="L50" s="2"/>
      <c r="M50" s="2"/>
      <c r="N50" s="2"/>
      <c r="O50" s="2"/>
      <c r="P50" s="2"/>
      <c r="Q50" s="2"/>
      <c r="R50" s="2"/>
      <c r="S50" s="2"/>
      <c r="T50" s="2"/>
      <c r="U50" s="2"/>
      <c r="V50" s="2"/>
      <c r="W50" s="2"/>
      <c r="X50" s="2"/>
      <c r="Y50" s="2"/>
      <c r="Z50" s="2"/>
      <c r="AA50" s="2"/>
    </row>
    <row r="51" spans="1:27">
      <c r="A51" s="2"/>
      <c r="B51" s="2"/>
      <c r="C51" s="2"/>
      <c r="D51" s="2"/>
      <c r="E51" s="2"/>
      <c r="F51" s="2"/>
      <c r="G51" s="2"/>
      <c r="H51" s="2"/>
      <c r="I51" s="2"/>
      <c r="J51" s="2"/>
      <c r="K51" s="2"/>
      <c r="L51" s="2"/>
      <c r="M51" s="2"/>
      <c r="N51" s="2"/>
      <c r="O51" s="2"/>
      <c r="P51" s="2"/>
      <c r="Q51" s="2"/>
      <c r="R51" s="2"/>
      <c r="S51" s="2"/>
      <c r="T51" s="2"/>
      <c r="U51" s="2"/>
      <c r="V51" s="2"/>
      <c r="W51" s="2"/>
      <c r="X51" s="2"/>
      <c r="Y51" s="2"/>
      <c r="Z51" s="2"/>
      <c r="AA51" s="2"/>
    </row>
    <row r="52" spans="1:27">
      <c r="A52" s="2"/>
      <c r="B52" s="2"/>
      <c r="C52" s="2"/>
      <c r="D52" s="2"/>
      <c r="E52" s="2"/>
      <c r="F52" s="2"/>
      <c r="G52" s="2"/>
      <c r="H52" s="2"/>
      <c r="I52" s="2"/>
      <c r="J52" s="2"/>
      <c r="K52" s="2"/>
      <c r="L52" s="2"/>
      <c r="M52" s="2"/>
      <c r="N52" s="2"/>
      <c r="O52" s="2"/>
      <c r="P52" s="2"/>
      <c r="Q52" s="2"/>
      <c r="R52" s="2"/>
      <c r="S52" s="2"/>
      <c r="T52" s="2"/>
      <c r="U52" s="2"/>
      <c r="V52" s="2"/>
      <c r="W52" s="2"/>
      <c r="X52" s="2"/>
      <c r="Y52" s="2"/>
      <c r="Z52" s="2"/>
      <c r="AA52" s="2"/>
    </row>
    <row r="53" spans="1:27">
      <c r="A53" s="2"/>
      <c r="B53" s="2"/>
      <c r="C53" s="2"/>
      <c r="D53" s="2"/>
      <c r="E53" s="2"/>
      <c r="F53" s="2"/>
      <c r="G53" s="2"/>
      <c r="H53" s="2"/>
      <c r="I53" s="2"/>
      <c r="J53" s="2"/>
      <c r="K53" s="2"/>
      <c r="L53" s="2"/>
      <c r="M53" s="2"/>
      <c r="N53" s="2"/>
      <c r="O53" s="2"/>
      <c r="P53" s="2"/>
      <c r="Q53" s="2"/>
      <c r="R53" s="2"/>
      <c r="S53" s="2"/>
      <c r="T53" s="2"/>
      <c r="U53" s="2"/>
      <c r="V53" s="2"/>
      <c r="W53" s="2"/>
      <c r="X53" s="2"/>
      <c r="Y53" s="2"/>
      <c r="Z53" s="2"/>
      <c r="AA53" s="2"/>
    </row>
    <row r="54" spans="1:27">
      <c r="A54" s="2"/>
      <c r="B54" s="2"/>
      <c r="C54" s="2"/>
      <c r="D54" s="2"/>
      <c r="E54" s="2"/>
      <c r="F54" s="2"/>
      <c r="G54" s="2"/>
      <c r="H54" s="2"/>
      <c r="I54" s="2"/>
      <c r="J54" s="2"/>
      <c r="K54" s="2"/>
      <c r="L54" s="2"/>
      <c r="M54" s="2"/>
      <c r="N54" s="2"/>
      <c r="O54" s="2"/>
      <c r="P54" s="2"/>
      <c r="Q54" s="2"/>
      <c r="R54" s="2"/>
      <c r="S54" s="2"/>
      <c r="T54" s="2"/>
      <c r="U54" s="2"/>
      <c r="V54" s="2"/>
      <c r="W54" s="2"/>
      <c r="X54" s="2"/>
      <c r="Y54" s="2"/>
      <c r="Z54" s="2"/>
      <c r="AA54" s="2"/>
    </row>
    <row r="55" spans="1:27">
      <c r="A55" s="2"/>
      <c r="B55" s="2"/>
      <c r="C55" s="2"/>
      <c r="D55" s="2"/>
      <c r="E55" s="2"/>
      <c r="F55" s="2"/>
      <c r="G55" s="2"/>
      <c r="H55" s="2"/>
      <c r="I55" s="2"/>
      <c r="J55" s="2"/>
      <c r="K55" s="2"/>
      <c r="L55" s="2"/>
      <c r="M55" s="2"/>
      <c r="N55" s="2"/>
      <c r="O55" s="2"/>
      <c r="P55" s="2"/>
      <c r="Q55" s="2"/>
      <c r="R55" s="2"/>
      <c r="S55" s="2"/>
      <c r="T55" s="2"/>
      <c r="U55" s="2"/>
      <c r="V55" s="2"/>
      <c r="W55" s="2"/>
      <c r="X55" s="2"/>
      <c r="Y55" s="2"/>
      <c r="Z55" s="2"/>
      <c r="AA55" s="2"/>
    </row>
    <row r="56" spans="1:27">
      <c r="A56" s="2"/>
      <c r="B56" s="2"/>
      <c r="C56" s="2"/>
      <c r="D56" s="2"/>
      <c r="E56" s="2"/>
      <c r="F56" s="2"/>
      <c r="G56" s="2"/>
      <c r="H56" s="2"/>
      <c r="I56" s="2"/>
      <c r="J56" s="2"/>
      <c r="K56" s="2"/>
      <c r="L56" s="2"/>
      <c r="M56" s="2"/>
      <c r="N56" s="2"/>
      <c r="O56" s="2"/>
      <c r="P56" s="2"/>
      <c r="Q56" s="2"/>
      <c r="R56" s="2"/>
      <c r="S56" s="2"/>
      <c r="T56" s="2"/>
      <c r="U56" s="2"/>
      <c r="V56" s="2"/>
      <c r="W56" s="2"/>
      <c r="X56" s="2"/>
      <c r="Y56" s="2"/>
      <c r="Z56" s="2"/>
      <c r="AA56" s="2"/>
    </row>
    <row r="57" spans="1:27">
      <c r="A57" s="2"/>
      <c r="B57" s="2"/>
      <c r="C57" s="2"/>
      <c r="D57" s="2"/>
      <c r="E57" s="2"/>
      <c r="F57" s="2"/>
      <c r="G57" s="2"/>
      <c r="H57" s="2"/>
      <c r="I57" s="2"/>
      <c r="J57" s="2"/>
      <c r="K57" s="2"/>
      <c r="L57" s="2"/>
      <c r="M57" s="2"/>
      <c r="N57" s="2"/>
      <c r="O57" s="2"/>
      <c r="P57" s="2"/>
      <c r="Q57" s="2"/>
      <c r="R57" s="2"/>
      <c r="S57" s="2"/>
      <c r="T57" s="2"/>
      <c r="U57" s="2"/>
      <c r="V57" s="2"/>
      <c r="W57" s="2"/>
      <c r="X57" s="2"/>
      <c r="Y57" s="2"/>
      <c r="Z57" s="2"/>
      <c r="AA57" s="2"/>
    </row>
    <row r="58" spans="1:27">
      <c r="A58" s="2"/>
      <c r="B58" s="2"/>
      <c r="C58" s="2"/>
      <c r="D58" s="2"/>
      <c r="E58" s="2"/>
      <c r="F58" s="2"/>
      <c r="G58" s="2"/>
      <c r="H58" s="2"/>
      <c r="I58" s="2"/>
      <c r="J58" s="2"/>
      <c r="K58" s="2"/>
      <c r="L58" s="2"/>
      <c r="M58" s="2"/>
      <c r="N58" s="2"/>
      <c r="O58" s="2"/>
      <c r="P58" s="2"/>
      <c r="Q58" s="2"/>
      <c r="R58" s="2"/>
      <c r="S58" s="2"/>
      <c r="T58" s="2"/>
      <c r="U58" s="2"/>
      <c r="V58" s="2"/>
      <c r="W58" s="2"/>
      <c r="X58" s="2"/>
      <c r="Y58" s="2"/>
      <c r="Z58" s="2"/>
      <c r="AA58" s="2"/>
    </row>
    <row r="59" spans="1:27">
      <c r="A59" s="2"/>
      <c r="B59" s="2"/>
      <c r="C59" s="2"/>
      <c r="D59" s="2"/>
      <c r="E59" s="2"/>
      <c r="F59" s="2"/>
      <c r="G59" s="2"/>
      <c r="H59" s="2"/>
      <c r="I59" s="2"/>
      <c r="J59" s="2"/>
      <c r="K59" s="2"/>
      <c r="L59" s="2"/>
      <c r="M59" s="2"/>
      <c r="N59" s="2"/>
      <c r="O59" s="2"/>
      <c r="P59" s="2"/>
      <c r="Q59" s="2"/>
      <c r="R59" s="2"/>
      <c r="S59" s="2"/>
      <c r="T59" s="2"/>
      <c r="U59" s="2"/>
      <c r="V59" s="2"/>
      <c r="W59" s="2"/>
      <c r="X59" s="2"/>
      <c r="Y59" s="2"/>
      <c r="Z59" s="2"/>
      <c r="AA59" s="2"/>
    </row>
    <row r="60" spans="1:27">
      <c r="A60" s="2"/>
      <c r="B60" s="2"/>
      <c r="C60" s="2"/>
      <c r="D60" s="2"/>
      <c r="E60" s="2"/>
      <c r="F60" s="2"/>
      <c r="G60" s="2"/>
      <c r="H60" s="2"/>
      <c r="I60" s="2"/>
      <c r="J60" s="2"/>
      <c r="K60" s="2"/>
      <c r="L60" s="2"/>
      <c r="M60" s="2"/>
      <c r="N60" s="2"/>
      <c r="O60" s="2"/>
      <c r="P60" s="2"/>
      <c r="Q60" s="2"/>
      <c r="R60" s="2"/>
      <c r="S60" s="2"/>
      <c r="T60" s="2"/>
      <c r="U60" s="2"/>
      <c r="V60" s="2"/>
      <c r="W60" s="2"/>
      <c r="X60" s="2"/>
      <c r="Y60" s="2"/>
      <c r="Z60" s="2"/>
      <c r="AA60" s="2"/>
    </row>
    <row r="61" spans="1:27">
      <c r="A61" s="2"/>
      <c r="B61" s="2"/>
      <c r="C61" s="2"/>
      <c r="D61" s="2"/>
      <c r="E61" s="2"/>
      <c r="F61" s="2"/>
      <c r="G61" s="2"/>
      <c r="H61" s="2"/>
      <c r="I61" s="2"/>
      <c r="J61" s="2"/>
      <c r="K61" s="2"/>
      <c r="L61" s="2"/>
      <c r="M61" s="2"/>
      <c r="N61" s="2"/>
      <c r="O61" s="2"/>
      <c r="P61" s="2"/>
      <c r="Q61" s="2"/>
      <c r="R61" s="2"/>
      <c r="S61" s="2"/>
      <c r="T61" s="2"/>
      <c r="U61" s="2"/>
      <c r="V61" s="2"/>
      <c r="W61" s="2"/>
      <c r="X61" s="2"/>
      <c r="Y61" s="2"/>
      <c r="Z61" s="2"/>
      <c r="AA61" s="2"/>
    </row>
    <row r="62" spans="1:27">
      <c r="A62" s="2"/>
      <c r="B62" s="2"/>
      <c r="C62" s="2"/>
      <c r="D62" s="2"/>
      <c r="E62" s="2"/>
      <c r="F62" s="2"/>
      <c r="G62" s="2"/>
      <c r="H62" s="2"/>
      <c r="I62" s="2"/>
      <c r="J62" s="2"/>
      <c r="K62" s="2"/>
      <c r="L62" s="2"/>
      <c r="M62" s="2"/>
      <c r="N62" s="2"/>
      <c r="O62" s="2"/>
      <c r="P62" s="2"/>
      <c r="Q62" s="2"/>
      <c r="R62" s="2"/>
      <c r="S62" s="2"/>
      <c r="T62" s="2"/>
      <c r="U62" s="2"/>
      <c r="V62" s="2"/>
      <c r="W62" s="2"/>
      <c r="X62" s="2"/>
      <c r="Y62" s="2"/>
      <c r="Z62" s="2"/>
      <c r="AA62" s="2"/>
    </row>
  </sheetData>
  <mergeCells count="2">
    <mergeCell ref="I1:M1"/>
    <mergeCell ref="E2:H2"/>
  </mergeCells>
  <phoneticPr fontId="0" type="noConversion"/>
  <conditionalFormatting sqref="I7">
    <cfRule type="cellIs" dxfId="10" priority="5" stopIfTrue="1" operator="equal">
      <formula>"X"</formula>
    </cfRule>
    <cfRule type="cellIs" dxfId="9" priority="6" stopIfTrue="1" operator="notEqual">
      <formula>"X"</formula>
    </cfRule>
  </conditionalFormatting>
  <conditionalFormatting sqref="I10 I20">
    <cfRule type="cellIs" dxfId="8" priority="3" stopIfTrue="1" operator="equal">
      <formula>"X"</formula>
    </cfRule>
    <cfRule type="cellIs" dxfId="7" priority="4" stopIfTrue="1" operator="notEqual">
      <formula>"X"</formula>
    </cfRule>
  </conditionalFormatting>
  <conditionalFormatting sqref="I23">
    <cfRule type="expression" dxfId="6" priority="1" stopIfTrue="1">
      <formula>AND($I$7="X",$I$10="X",$I$20="X")</formula>
    </cfRule>
    <cfRule type="expression" dxfId="5" priority="2" stopIfTrue="1">
      <formula>OR($I$7=" ",$I$10=" ",$I$20=" ")</formula>
    </cfRule>
  </conditionalFormatting>
  <pageMargins left="0.7" right="0.7" top="0.75" bottom="0.75" header="0.3" footer="0.3"/>
  <pageSetup orientation="portrait"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10"/>
  </sheetPr>
  <dimension ref="A1:Z60"/>
  <sheetViews>
    <sheetView workbookViewId="0">
      <selection activeCell="B30" sqref="B30"/>
    </sheetView>
  </sheetViews>
  <sheetFormatPr baseColWidth="10" defaultColWidth="8.83203125" defaultRowHeight="13"/>
  <cols>
    <col min="2" max="2" width="22.83203125" customWidth="1"/>
    <col min="3" max="3" width="17.1640625" customWidth="1"/>
    <col min="4" max="4" width="19.33203125" customWidth="1"/>
    <col min="5" max="5" width="108.83203125" customWidth="1"/>
  </cols>
  <sheetData>
    <row r="1" spans="1:26" ht="19" thickBot="1">
      <c r="A1" s="709" t="s">
        <v>640</v>
      </c>
      <c r="B1" s="256" t="s">
        <v>3</v>
      </c>
      <c r="C1" s="49"/>
      <c r="D1" s="88" t="s">
        <v>218</v>
      </c>
      <c r="E1" s="49"/>
      <c r="F1" s="49"/>
      <c r="G1" s="49"/>
      <c r="H1" s="49"/>
      <c r="I1" s="49"/>
      <c r="J1" s="49"/>
      <c r="K1" s="49"/>
      <c r="L1" s="49"/>
      <c r="M1" s="49"/>
      <c r="N1" s="49"/>
      <c r="O1" s="49"/>
      <c r="P1" s="49"/>
      <c r="Q1" s="49"/>
      <c r="R1" s="49"/>
      <c r="S1" s="49"/>
      <c r="T1" s="49"/>
      <c r="U1" s="49"/>
      <c r="V1" s="49"/>
      <c r="W1" s="49"/>
      <c r="X1" s="49"/>
      <c r="Y1" s="49"/>
      <c r="Z1" s="49"/>
    </row>
    <row r="2" spans="1:26" ht="18">
      <c r="A2" s="254"/>
      <c r="B2" s="255" t="s">
        <v>438</v>
      </c>
      <c r="C2" s="2"/>
      <c r="D2" s="2"/>
      <c r="E2" s="2"/>
      <c r="F2" s="2"/>
      <c r="G2" s="2"/>
      <c r="H2" s="2"/>
      <c r="I2" s="2"/>
      <c r="J2" s="2"/>
      <c r="K2" s="2"/>
      <c r="L2" s="2"/>
      <c r="M2" s="2"/>
      <c r="N2" s="2"/>
      <c r="O2" s="2"/>
      <c r="P2" s="2"/>
      <c r="Q2" s="2"/>
      <c r="R2" s="2"/>
      <c r="S2" s="2"/>
      <c r="T2" s="2"/>
      <c r="U2" s="2"/>
      <c r="V2" s="2"/>
      <c r="W2" s="2"/>
      <c r="X2" s="2"/>
      <c r="Y2" s="2"/>
      <c r="Z2" s="2"/>
    </row>
    <row r="3" spans="1:26" ht="18">
      <c r="A3" s="254"/>
      <c r="B3" s="62" t="s">
        <v>22</v>
      </c>
      <c r="C3" s="18" t="s">
        <v>23</v>
      </c>
      <c r="D3" s="18"/>
      <c r="E3" s="2"/>
      <c r="F3" s="2"/>
      <c r="G3" s="2"/>
      <c r="H3" s="2"/>
      <c r="I3" s="2"/>
      <c r="J3" s="2"/>
      <c r="K3" s="2"/>
      <c r="L3" s="2"/>
      <c r="M3" s="2"/>
      <c r="N3" s="2"/>
      <c r="O3" s="2"/>
      <c r="P3" s="2"/>
      <c r="Q3" s="2"/>
      <c r="R3" s="2"/>
      <c r="S3" s="2"/>
      <c r="T3" s="2"/>
      <c r="U3" s="2"/>
      <c r="V3" s="2"/>
      <c r="W3" s="2"/>
      <c r="X3" s="2"/>
      <c r="Y3" s="2"/>
      <c r="Z3" s="2"/>
    </row>
    <row r="4" spans="1:26" ht="19" thickBot="1">
      <c r="A4" s="254"/>
      <c r="B4" s="252" t="s">
        <v>26</v>
      </c>
      <c r="C4" s="18" t="s">
        <v>78</v>
      </c>
      <c r="D4" s="18"/>
      <c r="E4" s="471" t="s">
        <v>440</v>
      </c>
      <c r="F4" s="2"/>
      <c r="G4" s="2"/>
      <c r="H4" s="2"/>
      <c r="I4" s="2"/>
      <c r="J4" s="2"/>
      <c r="K4" s="2"/>
      <c r="L4" s="2"/>
      <c r="M4" s="2"/>
      <c r="N4" s="2"/>
      <c r="O4" s="2"/>
      <c r="P4" s="2"/>
      <c r="Q4" s="2"/>
      <c r="R4" s="2"/>
      <c r="S4" s="2"/>
      <c r="T4" s="2"/>
      <c r="U4" s="2"/>
      <c r="V4" s="2"/>
      <c r="W4" s="2"/>
      <c r="X4" s="2"/>
      <c r="Y4" s="2"/>
      <c r="Z4" s="2"/>
    </row>
    <row r="5" spans="1:26" ht="19" thickBot="1">
      <c r="A5" s="254"/>
      <c r="B5" s="40" t="s">
        <v>24</v>
      </c>
      <c r="C5" s="19" t="s">
        <v>25</v>
      </c>
      <c r="D5" s="2"/>
      <c r="E5" s="471" t="s">
        <v>440</v>
      </c>
      <c r="F5" s="2"/>
      <c r="G5" s="2"/>
      <c r="H5" s="2"/>
      <c r="I5" s="2"/>
      <c r="J5" s="2"/>
      <c r="K5" s="2"/>
      <c r="L5" s="2"/>
      <c r="M5" s="2"/>
      <c r="N5" s="2"/>
      <c r="O5" s="2"/>
      <c r="P5" s="2"/>
      <c r="Q5" s="2"/>
      <c r="R5" s="2"/>
      <c r="S5" s="2"/>
      <c r="T5" s="2"/>
      <c r="U5" s="2"/>
      <c r="V5" s="2"/>
      <c r="W5" s="2"/>
      <c r="X5" s="2"/>
      <c r="Y5" s="2"/>
      <c r="Z5" s="2"/>
    </row>
    <row r="6" spans="1:26" ht="18">
      <c r="A6" s="254"/>
      <c r="B6" s="472" t="s">
        <v>70</v>
      </c>
      <c r="C6" s="19" t="s">
        <v>71</v>
      </c>
      <c r="D6" s="2"/>
      <c r="E6" s="3" t="s">
        <v>584</v>
      </c>
      <c r="F6" s="2"/>
      <c r="G6" s="2"/>
      <c r="H6" s="2"/>
      <c r="I6" s="2"/>
      <c r="J6" s="2"/>
      <c r="K6" s="2"/>
      <c r="L6" s="2"/>
      <c r="M6" s="2"/>
      <c r="N6" s="2"/>
      <c r="O6" s="2"/>
      <c r="P6" s="2"/>
      <c r="Q6" s="2"/>
      <c r="R6" s="2"/>
      <c r="S6" s="2"/>
      <c r="T6" s="2"/>
      <c r="U6" s="2"/>
      <c r="V6" s="2"/>
      <c r="W6" s="2"/>
      <c r="X6" s="2"/>
      <c r="Y6" s="2"/>
      <c r="Z6" s="2"/>
    </row>
    <row r="7" spans="1:26" ht="18">
      <c r="A7" s="254"/>
      <c r="B7" s="473" t="s">
        <v>26</v>
      </c>
      <c r="C7" s="489" t="s">
        <v>488</v>
      </c>
      <c r="D7" s="18"/>
      <c r="E7" s="471" t="s">
        <v>440</v>
      </c>
      <c r="F7" s="2"/>
      <c r="G7" s="2"/>
      <c r="H7" s="2"/>
      <c r="I7" s="2"/>
      <c r="J7" s="2"/>
      <c r="K7" s="2"/>
      <c r="L7" s="2"/>
      <c r="M7" s="2"/>
      <c r="N7" s="2"/>
      <c r="O7" s="2"/>
      <c r="P7" s="2"/>
      <c r="Q7" s="2"/>
      <c r="R7" s="2"/>
      <c r="S7" s="2"/>
      <c r="T7" s="2"/>
      <c r="U7" s="2"/>
      <c r="V7" s="2"/>
      <c r="W7" s="2"/>
      <c r="X7" s="2"/>
      <c r="Y7" s="2"/>
      <c r="Z7" s="2"/>
    </row>
    <row r="8" spans="1:26" ht="18">
      <c r="A8" s="254"/>
      <c r="B8" s="21"/>
      <c r="C8" s="90"/>
      <c r="D8" s="18"/>
      <c r="E8" s="2"/>
      <c r="F8" s="2"/>
      <c r="G8" s="2"/>
      <c r="H8" s="2"/>
      <c r="I8" s="2"/>
      <c r="J8" s="2"/>
      <c r="K8" s="2"/>
      <c r="L8" s="2"/>
      <c r="M8" s="2"/>
      <c r="N8" s="2"/>
      <c r="O8" s="2"/>
      <c r="P8" s="2"/>
      <c r="Q8" s="2"/>
      <c r="R8" s="2"/>
      <c r="S8" s="2"/>
      <c r="T8" s="2"/>
      <c r="U8" s="2"/>
      <c r="V8" s="2"/>
      <c r="W8" s="2"/>
      <c r="X8" s="2"/>
      <c r="Y8" s="2"/>
      <c r="Z8" s="2"/>
    </row>
    <row r="9" spans="1:26" ht="19" thickBot="1">
      <c r="A9" s="254"/>
      <c r="B9" s="255" t="s">
        <v>439</v>
      </c>
      <c r="C9" s="2"/>
      <c r="D9" s="2"/>
      <c r="E9" s="2"/>
      <c r="F9" s="2"/>
      <c r="G9" s="2"/>
      <c r="H9" s="2"/>
      <c r="I9" s="2"/>
      <c r="J9" s="2"/>
      <c r="K9" s="2"/>
      <c r="L9" s="2"/>
      <c r="M9" s="2"/>
      <c r="N9" s="2"/>
      <c r="O9" s="2"/>
      <c r="P9" s="2"/>
      <c r="Q9" s="2"/>
      <c r="R9" s="2"/>
      <c r="S9" s="2"/>
      <c r="T9" s="2"/>
      <c r="U9" s="2"/>
      <c r="V9" s="2"/>
      <c r="W9" s="2"/>
      <c r="X9" s="2"/>
      <c r="Y9" s="2"/>
      <c r="Z9" s="2"/>
    </row>
    <row r="10" spans="1:26" ht="15" thickBot="1">
      <c r="A10" s="2"/>
      <c r="B10" s="266" t="s">
        <v>212</v>
      </c>
      <c r="C10" s="267" t="s">
        <v>213</v>
      </c>
      <c r="D10" s="267" t="s">
        <v>214</v>
      </c>
      <c r="E10" s="268" t="s">
        <v>215</v>
      </c>
      <c r="F10" s="2"/>
      <c r="G10" s="2"/>
      <c r="H10" s="2"/>
      <c r="I10" s="2"/>
      <c r="J10" s="2"/>
      <c r="K10" s="2"/>
      <c r="L10" s="2"/>
      <c r="M10" s="2"/>
      <c r="N10" s="2"/>
      <c r="O10" s="2"/>
      <c r="P10" s="2"/>
      <c r="Q10" s="2"/>
      <c r="R10" s="2"/>
      <c r="S10" s="2"/>
      <c r="T10" s="2"/>
      <c r="U10" s="2"/>
      <c r="V10" s="2"/>
      <c r="W10" s="2"/>
      <c r="X10" s="2"/>
      <c r="Y10" s="2"/>
      <c r="Z10" s="2"/>
    </row>
    <row r="11" spans="1:26" ht="14">
      <c r="A11" s="2"/>
      <c r="B11" s="264" t="s">
        <v>216</v>
      </c>
      <c r="C11" s="265">
        <v>40393</v>
      </c>
      <c r="D11" s="264" t="s">
        <v>83</v>
      </c>
      <c r="E11" s="930" t="s">
        <v>217</v>
      </c>
      <c r="F11" s="2"/>
      <c r="G11" s="2"/>
      <c r="H11" s="2"/>
      <c r="I11" s="2"/>
      <c r="J11" s="2"/>
      <c r="K11" s="2"/>
      <c r="L11" s="2"/>
      <c r="M11" s="2"/>
      <c r="N11" s="2"/>
      <c r="O11" s="2"/>
      <c r="P11" s="2"/>
      <c r="Q11" s="2"/>
      <c r="R11" s="2"/>
      <c r="S11" s="2"/>
      <c r="T11" s="2"/>
      <c r="U11" s="2"/>
      <c r="V11" s="2"/>
      <c r="W11" s="2"/>
      <c r="X11" s="2"/>
      <c r="Y11" s="2"/>
      <c r="Z11" s="2"/>
    </row>
    <row r="12" spans="1:26">
      <c r="A12" s="2"/>
      <c r="B12" s="252" t="s">
        <v>219</v>
      </c>
      <c r="C12" s="253">
        <v>40395</v>
      </c>
      <c r="D12" s="252" t="s">
        <v>83</v>
      </c>
      <c r="E12" s="92" t="s">
        <v>220</v>
      </c>
      <c r="F12" s="2"/>
      <c r="G12" s="2"/>
      <c r="H12" s="2"/>
      <c r="I12" s="2"/>
      <c r="J12" s="2"/>
      <c r="K12" s="2"/>
      <c r="L12" s="2"/>
      <c r="M12" s="2"/>
      <c r="N12" s="2"/>
      <c r="O12" s="2"/>
      <c r="P12" s="2"/>
      <c r="Q12" s="2"/>
      <c r="R12" s="2"/>
      <c r="S12" s="2"/>
      <c r="T12" s="2"/>
      <c r="U12" s="2"/>
      <c r="V12" s="2"/>
      <c r="W12" s="2"/>
      <c r="X12" s="2"/>
      <c r="Y12" s="2"/>
      <c r="Z12" s="2"/>
    </row>
    <row r="13" spans="1:26" ht="28">
      <c r="A13" s="2"/>
      <c r="B13" s="252" t="s">
        <v>221</v>
      </c>
      <c r="C13" s="263">
        <v>40410</v>
      </c>
      <c r="D13" s="252" t="s">
        <v>83</v>
      </c>
      <c r="E13" s="716" t="s">
        <v>224</v>
      </c>
      <c r="F13" s="2"/>
      <c r="G13" s="2"/>
      <c r="H13" s="2"/>
      <c r="I13" s="2"/>
      <c r="J13" s="2"/>
      <c r="K13" s="2"/>
      <c r="L13" s="2"/>
      <c r="M13" s="2"/>
      <c r="N13" s="2"/>
      <c r="O13" s="2"/>
      <c r="P13" s="2"/>
      <c r="Q13" s="2"/>
      <c r="R13" s="2"/>
      <c r="S13" s="2"/>
      <c r="T13" s="2"/>
      <c r="U13" s="2"/>
      <c r="V13" s="2"/>
      <c r="W13" s="2"/>
      <c r="X13" s="2"/>
      <c r="Y13" s="2"/>
      <c r="Z13" s="2"/>
    </row>
    <row r="14" spans="1:26" ht="28">
      <c r="A14" s="2"/>
      <c r="B14" s="932" t="s">
        <v>225</v>
      </c>
      <c r="C14" s="263">
        <v>40423</v>
      </c>
      <c r="D14" s="252" t="s">
        <v>83</v>
      </c>
      <c r="E14" s="716" t="s">
        <v>226</v>
      </c>
      <c r="F14" s="2"/>
      <c r="G14" s="2"/>
      <c r="H14" s="2"/>
      <c r="I14" s="2"/>
      <c r="J14" s="2"/>
      <c r="K14" s="2"/>
      <c r="L14" s="2"/>
      <c r="M14" s="2"/>
      <c r="N14" s="2"/>
      <c r="O14" s="2"/>
      <c r="P14" s="2"/>
      <c r="Q14" s="2"/>
      <c r="R14" s="2"/>
      <c r="S14" s="2"/>
      <c r="T14" s="2"/>
      <c r="U14" s="2"/>
      <c r="V14" s="2"/>
      <c r="W14" s="2"/>
      <c r="X14" s="2"/>
      <c r="Y14" s="2"/>
      <c r="Z14" s="2"/>
    </row>
    <row r="15" spans="1:26">
      <c r="A15" s="2"/>
      <c r="B15" s="252" t="s">
        <v>227</v>
      </c>
      <c r="C15" s="263">
        <v>40445</v>
      </c>
      <c r="D15" s="252" t="s">
        <v>83</v>
      </c>
      <c r="E15" s="92" t="s">
        <v>228</v>
      </c>
      <c r="F15" s="2"/>
      <c r="G15" s="2"/>
      <c r="H15" s="2"/>
      <c r="I15" s="2"/>
      <c r="J15" s="2"/>
      <c r="K15" s="2"/>
      <c r="L15" s="2"/>
      <c r="M15" s="2"/>
      <c r="N15" s="2"/>
      <c r="O15" s="2"/>
      <c r="P15" s="2"/>
      <c r="Q15" s="2"/>
      <c r="R15" s="2"/>
      <c r="S15" s="2"/>
      <c r="T15" s="2"/>
      <c r="U15" s="2"/>
      <c r="V15" s="2"/>
      <c r="W15" s="2"/>
      <c r="X15" s="2"/>
      <c r="Y15" s="2"/>
      <c r="Z15" s="2"/>
    </row>
    <row r="16" spans="1:26">
      <c r="A16" s="2"/>
      <c r="B16" s="252" t="s">
        <v>314</v>
      </c>
      <c r="C16" s="263">
        <v>40502</v>
      </c>
      <c r="D16" s="252" t="s">
        <v>83</v>
      </c>
      <c r="E16" s="717" t="s">
        <v>229</v>
      </c>
      <c r="F16" s="2"/>
      <c r="G16" s="2"/>
      <c r="H16" s="2"/>
      <c r="I16" s="2"/>
      <c r="J16" s="2"/>
      <c r="K16" s="2"/>
      <c r="L16" s="2"/>
      <c r="M16" s="2"/>
      <c r="N16" s="2"/>
      <c r="O16" s="2"/>
      <c r="P16" s="2"/>
      <c r="Q16" s="2"/>
      <c r="R16" s="2"/>
      <c r="S16" s="2"/>
      <c r="T16" s="2"/>
      <c r="U16" s="2"/>
      <c r="V16" s="2"/>
      <c r="W16" s="2"/>
      <c r="X16" s="2"/>
      <c r="Y16" s="2"/>
      <c r="Z16" s="2"/>
    </row>
    <row r="17" spans="1:26">
      <c r="A17" s="2"/>
      <c r="B17" s="252" t="s">
        <v>316</v>
      </c>
      <c r="C17" s="253">
        <v>40518</v>
      </c>
      <c r="D17" s="252" t="s">
        <v>291</v>
      </c>
      <c r="E17" s="717" t="s">
        <v>292</v>
      </c>
      <c r="F17" s="2"/>
      <c r="G17" s="2"/>
      <c r="H17" s="2"/>
      <c r="I17" s="2"/>
      <c r="J17" s="2"/>
      <c r="K17" s="2"/>
      <c r="L17" s="2"/>
      <c r="M17" s="2"/>
      <c r="N17" s="2"/>
      <c r="O17" s="2"/>
      <c r="P17" s="2"/>
      <c r="Q17" s="2"/>
      <c r="R17" s="2"/>
      <c r="S17" s="2"/>
      <c r="T17" s="2"/>
      <c r="U17" s="2"/>
      <c r="V17" s="2"/>
      <c r="W17" s="2"/>
      <c r="X17" s="2"/>
      <c r="Y17" s="2"/>
      <c r="Z17" s="2"/>
    </row>
    <row r="18" spans="1:26" ht="42">
      <c r="A18" s="2"/>
      <c r="B18" s="932" t="s">
        <v>315</v>
      </c>
      <c r="C18" s="253">
        <v>40568</v>
      </c>
      <c r="D18" s="252" t="s">
        <v>83</v>
      </c>
      <c r="E18" s="716" t="s">
        <v>347</v>
      </c>
      <c r="F18" s="2"/>
      <c r="G18" s="2"/>
      <c r="H18" s="2"/>
      <c r="I18" s="2"/>
      <c r="J18" s="2"/>
      <c r="K18" s="2"/>
      <c r="L18" s="2"/>
      <c r="M18" s="2"/>
      <c r="N18" s="2"/>
      <c r="O18" s="2"/>
      <c r="P18" s="2"/>
      <c r="Q18" s="2"/>
      <c r="R18" s="2"/>
      <c r="S18" s="2"/>
      <c r="T18" s="2"/>
      <c r="U18" s="2"/>
      <c r="V18" s="2"/>
      <c r="W18" s="2"/>
      <c r="X18" s="2"/>
      <c r="Y18" s="2"/>
      <c r="Z18" s="2"/>
    </row>
    <row r="19" spans="1:26">
      <c r="A19" s="2"/>
      <c r="B19" s="252" t="s">
        <v>434</v>
      </c>
      <c r="C19" s="263">
        <v>40960</v>
      </c>
      <c r="D19" s="252" t="s">
        <v>83</v>
      </c>
      <c r="E19" s="92" t="s">
        <v>348</v>
      </c>
      <c r="F19" s="2"/>
      <c r="G19" s="2"/>
      <c r="H19" s="2"/>
      <c r="I19" s="2"/>
      <c r="J19" s="2"/>
      <c r="K19" s="2"/>
      <c r="L19" s="2"/>
      <c r="M19" s="2"/>
      <c r="N19" s="2"/>
      <c r="O19" s="2"/>
      <c r="P19" s="2"/>
      <c r="Q19" s="2"/>
      <c r="R19" s="2"/>
      <c r="S19" s="2"/>
      <c r="T19" s="2"/>
      <c r="U19" s="2"/>
      <c r="V19" s="2"/>
      <c r="W19" s="2"/>
      <c r="X19" s="2"/>
      <c r="Y19" s="2"/>
      <c r="Z19" s="2"/>
    </row>
    <row r="20" spans="1:26">
      <c r="A20" s="2"/>
      <c r="B20" s="482" t="s">
        <v>474</v>
      </c>
      <c r="C20" s="263">
        <v>41322</v>
      </c>
      <c r="D20" s="482" t="s">
        <v>83</v>
      </c>
      <c r="E20" s="126" t="s">
        <v>475</v>
      </c>
      <c r="F20" s="2"/>
      <c r="G20" s="2"/>
      <c r="H20" s="2"/>
      <c r="I20" s="2"/>
      <c r="J20" s="2"/>
      <c r="K20" s="2"/>
      <c r="L20" s="2"/>
      <c r="M20" s="2"/>
      <c r="N20" s="2"/>
      <c r="O20" s="2"/>
      <c r="P20" s="2"/>
      <c r="Q20" s="2"/>
      <c r="R20" s="2"/>
      <c r="S20" s="2"/>
      <c r="T20" s="2"/>
      <c r="U20" s="2"/>
      <c r="V20" s="2"/>
      <c r="W20" s="2"/>
      <c r="X20" s="2"/>
      <c r="Y20" s="2"/>
      <c r="Z20" s="2"/>
    </row>
    <row r="21" spans="1:26">
      <c r="A21" s="2"/>
      <c r="B21" s="252" t="s">
        <v>539</v>
      </c>
      <c r="C21" s="263">
        <v>44148</v>
      </c>
      <c r="D21" s="252" t="s">
        <v>83</v>
      </c>
      <c r="E21" s="718" t="s">
        <v>571</v>
      </c>
      <c r="F21" s="2"/>
      <c r="G21" s="2"/>
      <c r="H21" s="2"/>
      <c r="I21" s="2"/>
      <c r="J21" s="2"/>
      <c r="K21" s="2"/>
      <c r="L21" s="2"/>
      <c r="M21" s="2"/>
      <c r="N21" s="2"/>
      <c r="O21" s="2"/>
      <c r="P21" s="2"/>
      <c r="Q21" s="2"/>
      <c r="R21" s="2"/>
      <c r="S21" s="2"/>
      <c r="T21" s="2"/>
      <c r="U21" s="2"/>
      <c r="V21" s="2"/>
      <c r="W21" s="2"/>
      <c r="X21" s="2"/>
      <c r="Y21" s="2"/>
      <c r="Z21" s="2"/>
    </row>
    <row r="22" spans="1:26">
      <c r="A22" s="2"/>
      <c r="B22" s="592" t="s">
        <v>569</v>
      </c>
      <c r="C22" s="263">
        <v>44153</v>
      </c>
      <c r="D22" s="592" t="s">
        <v>570</v>
      </c>
      <c r="E22" s="718" t="s">
        <v>572</v>
      </c>
      <c r="F22" s="2"/>
      <c r="G22" s="2"/>
      <c r="H22" s="2"/>
      <c r="I22" s="2"/>
      <c r="J22" s="2"/>
      <c r="K22" s="2"/>
      <c r="L22" s="2"/>
      <c r="M22" s="2"/>
      <c r="N22" s="2"/>
      <c r="O22" s="2"/>
      <c r="P22" s="2"/>
      <c r="Q22" s="2"/>
      <c r="R22" s="2"/>
      <c r="S22" s="2"/>
      <c r="T22" s="2"/>
      <c r="U22" s="2"/>
      <c r="V22" s="2"/>
      <c r="W22" s="2"/>
      <c r="X22" s="2"/>
      <c r="Y22" s="2"/>
      <c r="Z22" s="2"/>
    </row>
    <row r="23" spans="1:26">
      <c r="A23" s="2"/>
      <c r="B23" s="592" t="s">
        <v>596</v>
      </c>
      <c r="C23" s="263">
        <v>44154</v>
      </c>
      <c r="D23" s="592" t="s">
        <v>570</v>
      </c>
      <c r="E23" s="718" t="s">
        <v>669</v>
      </c>
      <c r="F23" s="2"/>
      <c r="G23" s="2"/>
      <c r="H23" s="2"/>
      <c r="I23" s="2"/>
      <c r="J23" s="2"/>
      <c r="K23" s="2"/>
      <c r="L23" s="2"/>
      <c r="M23" s="2"/>
      <c r="N23" s="2"/>
      <c r="O23" s="2"/>
      <c r="P23" s="2"/>
      <c r="Q23" s="2"/>
      <c r="R23" s="2"/>
      <c r="S23" s="2"/>
      <c r="T23" s="2"/>
      <c r="U23" s="2"/>
      <c r="V23" s="2"/>
      <c r="W23" s="2"/>
      <c r="X23" s="2"/>
      <c r="Y23" s="2"/>
      <c r="Z23" s="2"/>
    </row>
    <row r="24" spans="1:26">
      <c r="A24" s="2"/>
      <c r="B24" s="592" t="s">
        <v>662</v>
      </c>
      <c r="C24" s="263">
        <v>44155</v>
      </c>
      <c r="D24" s="592" t="s">
        <v>570</v>
      </c>
      <c r="E24" s="718" t="s">
        <v>663</v>
      </c>
      <c r="F24" s="2"/>
      <c r="G24" s="2"/>
      <c r="H24" s="2"/>
      <c r="I24" s="2"/>
      <c r="J24" s="2"/>
      <c r="K24" s="2"/>
      <c r="L24" s="2"/>
      <c r="M24" s="2"/>
      <c r="N24" s="2"/>
      <c r="O24" s="2"/>
      <c r="P24" s="2"/>
      <c r="Q24" s="2"/>
      <c r="R24" s="2"/>
      <c r="S24" s="2"/>
      <c r="T24" s="2"/>
      <c r="U24" s="2"/>
      <c r="V24" s="2"/>
      <c r="W24" s="2"/>
      <c r="X24" s="2"/>
      <c r="Y24" s="2"/>
      <c r="Z24" s="2"/>
    </row>
    <row r="25" spans="1:26">
      <c r="A25" s="2"/>
      <c r="B25" s="252" t="s">
        <v>670</v>
      </c>
      <c r="C25" s="263">
        <v>44156</v>
      </c>
      <c r="D25" s="592" t="s">
        <v>570</v>
      </c>
      <c r="E25" s="92" t="s">
        <v>671</v>
      </c>
      <c r="F25" s="2"/>
      <c r="G25" s="2"/>
      <c r="H25" s="2"/>
      <c r="I25" s="2"/>
      <c r="J25" s="2"/>
      <c r="K25" s="2"/>
      <c r="L25" s="2"/>
      <c r="M25" s="2"/>
      <c r="N25" s="2"/>
      <c r="O25" s="2"/>
      <c r="P25" s="2"/>
      <c r="Q25" s="2"/>
      <c r="R25" s="2"/>
      <c r="S25" s="2"/>
      <c r="T25" s="2"/>
      <c r="U25" s="2"/>
      <c r="V25" s="2"/>
      <c r="W25" s="2"/>
      <c r="X25" s="2"/>
      <c r="Y25" s="2"/>
      <c r="Z25" s="2"/>
    </row>
    <row r="26" spans="1:26">
      <c r="A26" s="2"/>
      <c r="B26" s="592" t="s">
        <v>769</v>
      </c>
      <c r="C26" s="911">
        <v>44176</v>
      </c>
      <c r="D26" s="592" t="s">
        <v>570</v>
      </c>
      <c r="E26" s="718" t="s">
        <v>770</v>
      </c>
      <c r="F26" s="2"/>
      <c r="G26" s="2"/>
      <c r="H26" s="2"/>
      <c r="I26" s="2"/>
      <c r="J26" s="2"/>
      <c r="K26" s="2"/>
      <c r="L26" s="2"/>
      <c r="M26" s="2"/>
      <c r="N26" s="2"/>
      <c r="O26" s="2"/>
      <c r="P26" s="2"/>
      <c r="Q26" s="2"/>
      <c r="R26" s="2"/>
      <c r="S26" s="2"/>
      <c r="T26" s="2"/>
      <c r="U26" s="2"/>
      <c r="V26" s="2"/>
      <c r="W26" s="2"/>
      <c r="X26" s="2"/>
      <c r="Y26" s="2"/>
      <c r="Z26" s="2"/>
    </row>
    <row r="27" spans="1:26" ht="28">
      <c r="A27" s="2"/>
      <c r="B27" s="932" t="s">
        <v>784</v>
      </c>
      <c r="C27" s="911">
        <v>44179</v>
      </c>
      <c r="D27" s="932" t="s">
        <v>570</v>
      </c>
      <c r="E27" s="716" t="s">
        <v>785</v>
      </c>
      <c r="F27" s="2"/>
      <c r="G27" s="2"/>
      <c r="H27" s="2"/>
      <c r="I27" s="2"/>
      <c r="J27" s="2"/>
      <c r="K27" s="2"/>
      <c r="L27" s="2"/>
      <c r="M27" s="2"/>
      <c r="N27" s="2"/>
      <c r="O27" s="2"/>
      <c r="P27" s="2"/>
      <c r="Q27" s="2"/>
      <c r="R27" s="2"/>
      <c r="S27" s="2"/>
      <c r="T27" s="2"/>
      <c r="U27" s="2"/>
      <c r="V27" s="2"/>
      <c r="W27" s="2"/>
      <c r="X27" s="2"/>
      <c r="Y27" s="2"/>
      <c r="Z27" s="2"/>
    </row>
    <row r="28" spans="1:26">
      <c r="A28" s="2"/>
      <c r="B28" s="932" t="s">
        <v>786</v>
      </c>
      <c r="C28" s="263">
        <v>44179</v>
      </c>
      <c r="D28" s="932" t="s">
        <v>570</v>
      </c>
      <c r="E28" s="92" t="s">
        <v>787</v>
      </c>
      <c r="F28" s="2"/>
      <c r="G28" s="2"/>
      <c r="H28" s="2"/>
      <c r="I28" s="2"/>
      <c r="J28" s="2"/>
      <c r="K28" s="2"/>
      <c r="L28" s="2"/>
      <c r="M28" s="2"/>
      <c r="N28" s="2"/>
      <c r="O28" s="2"/>
      <c r="P28" s="2"/>
      <c r="Q28" s="2"/>
      <c r="R28" s="2"/>
      <c r="S28" s="2"/>
      <c r="T28" s="2"/>
      <c r="U28" s="2"/>
      <c r="V28" s="2"/>
      <c r="W28" s="2"/>
      <c r="X28" s="2"/>
      <c r="Y28" s="2"/>
      <c r="Z28" s="2"/>
    </row>
    <row r="29" spans="1:26">
      <c r="A29" s="2"/>
      <c r="B29" s="656" t="s">
        <v>790</v>
      </c>
      <c r="C29" s="911">
        <v>44183</v>
      </c>
      <c r="D29" s="932" t="s">
        <v>570</v>
      </c>
      <c r="E29" s="718" t="s">
        <v>794</v>
      </c>
      <c r="F29" s="2"/>
      <c r="G29" s="2"/>
      <c r="H29" s="2"/>
      <c r="I29" s="2"/>
      <c r="J29" s="2"/>
      <c r="K29" s="2"/>
      <c r="L29" s="2"/>
      <c r="M29" s="2"/>
      <c r="N29" s="2"/>
      <c r="O29" s="2"/>
      <c r="P29" s="2"/>
      <c r="Q29" s="2"/>
      <c r="R29" s="2"/>
      <c r="S29" s="2"/>
      <c r="T29" s="2"/>
      <c r="U29" s="2"/>
      <c r="V29" s="2"/>
      <c r="W29" s="2"/>
      <c r="X29" s="2"/>
      <c r="Y29" s="2"/>
      <c r="Z29" s="2"/>
    </row>
    <row r="30" spans="1:26">
      <c r="A30" s="2"/>
      <c r="B30" s="92"/>
      <c r="C30" s="92"/>
      <c r="D30" s="92"/>
      <c r="E30" s="92"/>
      <c r="F30" s="2"/>
      <c r="G30" s="2"/>
      <c r="H30" s="2"/>
      <c r="I30" s="2"/>
      <c r="J30" s="2"/>
      <c r="K30" s="2"/>
      <c r="L30" s="2"/>
      <c r="M30" s="2"/>
      <c r="N30" s="2"/>
      <c r="O30" s="2"/>
      <c r="P30" s="2"/>
      <c r="Q30" s="2"/>
      <c r="R30" s="2"/>
      <c r="S30" s="2"/>
      <c r="T30" s="2"/>
      <c r="U30" s="2"/>
      <c r="V30" s="2"/>
      <c r="W30" s="2"/>
      <c r="X30" s="2"/>
      <c r="Y30" s="2"/>
      <c r="Z30" s="2"/>
    </row>
    <row r="31" spans="1:26">
      <c r="A31" s="2"/>
      <c r="B31" s="593" t="s">
        <v>3</v>
      </c>
      <c r="C31" s="2"/>
      <c r="D31" s="2"/>
      <c r="E31" s="2"/>
      <c r="F31" s="2"/>
      <c r="G31" s="2"/>
      <c r="H31" s="2"/>
      <c r="I31" s="2"/>
      <c r="J31" s="2"/>
      <c r="K31" s="2"/>
      <c r="L31" s="2"/>
      <c r="M31" s="2"/>
      <c r="N31" s="2"/>
      <c r="O31" s="2"/>
      <c r="P31" s="2"/>
      <c r="Q31" s="2"/>
      <c r="R31" s="2"/>
      <c r="S31" s="2"/>
      <c r="T31" s="2"/>
      <c r="U31" s="2"/>
      <c r="V31" s="2"/>
      <c r="W31" s="2"/>
      <c r="X31" s="2"/>
      <c r="Y31" s="2"/>
      <c r="Z31" s="2"/>
    </row>
    <row r="32" spans="1:26">
      <c r="A32" s="2"/>
      <c r="B32" s="2"/>
      <c r="C32" s="2"/>
      <c r="D32" s="593" t="s">
        <v>3</v>
      </c>
      <c r="E32" s="593" t="s">
        <v>3</v>
      </c>
      <c r="F32" s="2"/>
      <c r="G32" s="2"/>
      <c r="H32" s="2"/>
      <c r="I32" s="2"/>
      <c r="J32" s="2"/>
      <c r="K32" s="2"/>
      <c r="L32" s="2"/>
      <c r="M32" s="2"/>
      <c r="N32" s="2"/>
      <c r="O32" s="2"/>
      <c r="P32" s="2"/>
      <c r="Q32" s="2"/>
      <c r="R32" s="2"/>
      <c r="S32" s="2"/>
      <c r="T32" s="2"/>
      <c r="U32" s="2"/>
      <c r="V32" s="2"/>
      <c r="W32" s="2"/>
      <c r="X32" s="2"/>
      <c r="Y32" s="2"/>
      <c r="Z32" s="2"/>
    </row>
    <row r="33" spans="1:26">
      <c r="A33" s="2"/>
      <c r="B33" s="2"/>
      <c r="C33" s="2" t="s">
        <v>3</v>
      </c>
      <c r="D33" s="2"/>
      <c r="E33" s="2"/>
      <c r="F33" s="2"/>
      <c r="G33" s="2"/>
      <c r="H33" s="2"/>
      <c r="I33" s="2"/>
      <c r="J33" s="2"/>
      <c r="K33" s="2"/>
      <c r="L33" s="2"/>
      <c r="M33" s="2"/>
      <c r="N33" s="2"/>
      <c r="O33" s="2"/>
      <c r="P33" s="2"/>
      <c r="Q33" s="2"/>
      <c r="R33" s="2"/>
      <c r="S33" s="2"/>
      <c r="T33" s="2"/>
      <c r="U33" s="2"/>
      <c r="V33" s="2"/>
      <c r="W33" s="2"/>
      <c r="X33" s="2"/>
      <c r="Y33" s="2"/>
      <c r="Z33" s="2"/>
    </row>
    <row r="34" spans="1:26">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c r="A35" s="2"/>
      <c r="B35" s="593" t="s">
        <v>3</v>
      </c>
      <c r="C35" s="2"/>
      <c r="D35" s="2"/>
      <c r="E35" s="2"/>
      <c r="F35" s="2"/>
      <c r="G35" s="2"/>
      <c r="H35" s="2"/>
      <c r="I35" s="2"/>
      <c r="J35" s="2"/>
      <c r="K35" s="2"/>
      <c r="L35" s="2"/>
      <c r="M35" s="2"/>
      <c r="N35" s="2"/>
      <c r="O35" s="2"/>
      <c r="P35" s="2"/>
      <c r="Q35" s="2"/>
      <c r="R35" s="2"/>
      <c r="S35" s="2"/>
      <c r="T35" s="2"/>
      <c r="U35" s="2"/>
      <c r="V35" s="2"/>
      <c r="W35" s="2"/>
      <c r="X35" s="2"/>
      <c r="Y35" s="2"/>
      <c r="Z35" s="2"/>
    </row>
    <row r="36" spans="1:26">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c r="A38" s="2"/>
      <c r="B38" s="593" t="s">
        <v>3</v>
      </c>
      <c r="C38" s="2"/>
      <c r="D38" s="2"/>
      <c r="E38" s="2"/>
      <c r="F38" s="2"/>
      <c r="G38" s="2"/>
      <c r="H38" s="2"/>
      <c r="I38" s="2"/>
      <c r="J38" s="2"/>
      <c r="K38" s="2"/>
      <c r="L38" s="2"/>
      <c r="M38" s="2"/>
      <c r="N38" s="2"/>
      <c r="O38" s="2"/>
      <c r="P38" s="2"/>
      <c r="Q38" s="2"/>
      <c r="R38" s="2"/>
      <c r="S38" s="2"/>
      <c r="T38" s="2"/>
      <c r="U38" s="2"/>
      <c r="V38" s="2"/>
      <c r="W38" s="2"/>
      <c r="X38" s="2"/>
      <c r="Y38" s="2"/>
      <c r="Z38" s="2"/>
    </row>
    <row r="39" spans="1:26">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c r="B59" s="2"/>
      <c r="C59" s="2"/>
      <c r="D59" s="2"/>
      <c r="E59" s="2"/>
    </row>
    <row r="60" spans="1:26">
      <c r="B60" s="2"/>
      <c r="C60" s="2"/>
      <c r="D60" s="2"/>
      <c r="E60" s="2"/>
    </row>
  </sheetData>
  <phoneticPr fontId="66" type="noConversion"/>
  <pageMargins left="0.75" right="0.75" top="1" bottom="1" header="0.5" footer="0.5"/>
  <pageSetup paperSize="9"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indexed="40"/>
  </sheetPr>
  <dimension ref="A1:CT101"/>
  <sheetViews>
    <sheetView zoomScale="90" zoomScaleNormal="90" workbookViewId="0">
      <selection activeCell="F25" sqref="F25"/>
    </sheetView>
  </sheetViews>
  <sheetFormatPr baseColWidth="10" defaultColWidth="8.83203125" defaultRowHeight="13"/>
  <cols>
    <col min="3" max="3" width="8.33203125" customWidth="1"/>
    <col min="4" max="4" width="42.5" customWidth="1"/>
    <col min="5" max="5" width="26.5" style="12" customWidth="1"/>
    <col min="6" max="6" width="19.5" customWidth="1"/>
    <col min="7" max="7" width="5.1640625" customWidth="1"/>
    <col min="8" max="8" width="16" customWidth="1"/>
    <col min="9" max="9" width="10.83203125" customWidth="1"/>
    <col min="10" max="10" width="15" customWidth="1"/>
    <col min="11" max="11" width="5.83203125" customWidth="1"/>
    <col min="20" max="20" width="10" customWidth="1"/>
    <col min="21" max="21" width="10.33203125" customWidth="1"/>
  </cols>
  <sheetData>
    <row r="1" spans="1:28" ht="21" thickBot="1">
      <c r="A1" s="922" t="s">
        <v>641</v>
      </c>
      <c r="B1" s="599"/>
      <c r="C1" s="609" t="s">
        <v>590</v>
      </c>
      <c r="D1" s="599"/>
      <c r="E1" s="616" t="str">
        <f>'1-Title Page'!F7</f>
        <v>Jan A. King/ W3GEY, Brian R. Jones</v>
      </c>
      <c r="F1" s="615" t="str">
        <f>'1-Title Page'!F23</f>
        <v>2025 February 16</v>
      </c>
      <c r="G1" s="599"/>
      <c r="H1" s="599"/>
      <c r="I1" s="599"/>
      <c r="J1" s="599"/>
      <c r="K1" s="599"/>
      <c r="L1" s="599"/>
      <c r="M1" s="599"/>
      <c r="N1" s="599"/>
      <c r="O1" s="599"/>
      <c r="P1" s="599"/>
      <c r="Q1" s="599"/>
      <c r="R1" s="599"/>
      <c r="S1" s="599"/>
      <c r="T1" s="599"/>
      <c r="U1" s="599"/>
      <c r="V1" s="599"/>
      <c r="W1" s="599"/>
      <c r="X1" s="599"/>
      <c r="Y1" s="599"/>
      <c r="Z1" s="599"/>
      <c r="AA1" s="599"/>
      <c r="AB1" s="599"/>
    </row>
    <row r="2" spans="1:28" s="285" customFormat="1" ht="19.5" customHeight="1">
      <c r="A2" s="295"/>
      <c r="B2" s="295"/>
      <c r="C2" s="289"/>
      <c r="D2" s="289"/>
      <c r="E2" s="290"/>
      <c r="F2" s="289"/>
      <c r="G2" s="289"/>
      <c r="H2" s="289"/>
      <c r="I2" s="289"/>
      <c r="J2" s="289"/>
      <c r="K2" s="289"/>
      <c r="L2" s="289"/>
      <c r="M2" s="289"/>
      <c r="N2" s="289"/>
      <c r="O2" s="289"/>
      <c r="P2" s="289"/>
      <c r="Q2" s="289"/>
      <c r="R2" s="289"/>
      <c r="S2" s="289"/>
      <c r="T2" s="606" t="s">
        <v>480</v>
      </c>
      <c r="U2" s="607" t="s">
        <v>479</v>
      </c>
      <c r="V2" s="606" t="s">
        <v>478</v>
      </c>
      <c r="W2" s="606" t="s">
        <v>295</v>
      </c>
      <c r="X2" s="606" t="s">
        <v>296</v>
      </c>
      <c r="Y2" s="608" t="s">
        <v>477</v>
      </c>
      <c r="Z2" s="606" t="s">
        <v>476</v>
      </c>
      <c r="AA2" s="606" t="s">
        <v>478</v>
      </c>
      <c r="AB2" s="291"/>
    </row>
    <row r="3" spans="1:28" s="285" customFormat="1" ht="20" customHeight="1">
      <c r="A3" s="295"/>
      <c r="B3" s="295"/>
      <c r="C3" s="289"/>
      <c r="D3" s="299" t="s">
        <v>336</v>
      </c>
      <c r="E3" s="290"/>
      <c r="F3" s="289"/>
      <c r="G3" s="289"/>
      <c r="H3" s="289"/>
      <c r="I3" s="289"/>
      <c r="J3" s="289"/>
      <c r="K3" s="289"/>
      <c r="L3" s="289"/>
      <c r="M3" s="289"/>
      <c r="N3" s="289"/>
      <c r="O3" s="289"/>
      <c r="P3" s="289" t="s">
        <v>3</v>
      </c>
      <c r="Q3" s="289"/>
      <c r="R3" s="289"/>
      <c r="S3" s="289"/>
      <c r="T3" s="390">
        <v>95</v>
      </c>
      <c r="U3" s="483">
        <v>0.01</v>
      </c>
      <c r="V3" s="390">
        <v>0.6</v>
      </c>
      <c r="W3" s="483">
        <f>10*LOG($AA$3*(PI()^2*V3^2)/($Y$3^2))</f>
        <v>41.364170321958433</v>
      </c>
      <c r="X3" s="483">
        <f>10*LOG($AA$3*(PI()^2*V3^2)/($Z$3^2))</f>
        <v>34.153983027913426</v>
      </c>
      <c r="Y3" s="390">
        <f>'5-Frequency'!$E$6</f>
        <v>1.2478668054110303E-2</v>
      </c>
      <c r="Z3" s="390">
        <f>'5-Frequency'!$E$12</f>
        <v>2.8620525059665874E-2</v>
      </c>
      <c r="AA3" s="390">
        <f>V3</f>
        <v>0.6</v>
      </c>
      <c r="AB3" s="291"/>
    </row>
    <row r="4" spans="1:28" s="285" customFormat="1" ht="20" customHeight="1" thickBot="1">
      <c r="A4" s="295"/>
      <c r="B4" s="295"/>
      <c r="C4" s="474" t="s">
        <v>140</v>
      </c>
      <c r="D4" s="299"/>
      <c r="E4" s="297" t="s">
        <v>426</v>
      </c>
      <c r="F4" s="289"/>
      <c r="G4" s="289"/>
      <c r="H4" s="289"/>
      <c r="I4" s="298" t="s">
        <v>425</v>
      </c>
      <c r="J4" s="289"/>
      <c r="K4" s="289"/>
      <c r="L4" s="289"/>
      <c r="M4" s="289"/>
      <c r="N4" s="289"/>
      <c r="O4" s="289"/>
      <c r="P4" s="289"/>
      <c r="Q4" s="289"/>
      <c r="R4" s="289"/>
      <c r="S4" s="289"/>
      <c r="T4" s="390">
        <v>98</v>
      </c>
      <c r="U4" s="931">
        <v>0.05</v>
      </c>
      <c r="V4" s="390">
        <v>1</v>
      </c>
      <c r="W4" s="483">
        <f t="shared" ref="W4:W11" si="0">10*LOG($AA$3*(PI()^2*V4^2)/($Y$3^2))</f>
        <v>45.801145314285556</v>
      </c>
      <c r="X4" s="483">
        <f t="shared" ref="X4:X11" si="1">10*LOG($AA$3*(PI()^2*V4^2)/($Z$3^2))</f>
        <v>38.590958020240556</v>
      </c>
      <c r="Y4" s="390">
        <f>'5-Frequency'!$E$6</f>
        <v>1.2478668054110303E-2</v>
      </c>
      <c r="Z4" s="390">
        <f>'5-Frequency'!$E$12</f>
        <v>2.8620525059665874E-2</v>
      </c>
      <c r="AA4" s="390">
        <f t="shared" ref="AA4:AA12" si="2">V4</f>
        <v>1</v>
      </c>
      <c r="AB4" s="291"/>
    </row>
    <row r="5" spans="1:28" s="285" customFormat="1" ht="20" customHeight="1" thickBot="1">
      <c r="A5" s="295"/>
      <c r="B5" s="295"/>
      <c r="C5" s="407" t="s">
        <v>441</v>
      </c>
      <c r="D5" s="406"/>
      <c r="E5" s="462">
        <f>'7-User Terminal Set-Up'!C16</f>
        <v>1</v>
      </c>
      <c r="F5" s="460" t="s">
        <v>29</v>
      </c>
      <c r="G5" s="464" t="str">
        <f>IF('7-User Terminal Set-Up'!G19="Yes", "X", "")</f>
        <v>X</v>
      </c>
      <c r="H5" s="463">
        <f>'7-User Terminal Set-Up'!C72</f>
        <v>1</v>
      </c>
      <c r="I5" s="460" t="s">
        <v>29</v>
      </c>
      <c r="J5" s="461"/>
      <c r="K5" s="464" t="str">
        <f>IF('7-User Terminal Set-Up'!G75="Yes", "X", "")</f>
        <v>X</v>
      </c>
      <c r="L5" s="334" t="s">
        <v>427</v>
      </c>
      <c r="M5" s="289"/>
      <c r="N5" s="289"/>
      <c r="O5" s="289"/>
      <c r="P5" s="289"/>
      <c r="Q5" s="289"/>
      <c r="R5" s="289"/>
      <c r="S5" s="289"/>
      <c r="T5" s="390">
        <v>99</v>
      </c>
      <c r="U5" s="484">
        <v>0.1</v>
      </c>
      <c r="V5" s="390">
        <v>1.2</v>
      </c>
      <c r="W5" s="483">
        <f t="shared" si="0"/>
        <v>47.384770235238058</v>
      </c>
      <c r="X5" s="483">
        <f t="shared" si="1"/>
        <v>40.174582941193052</v>
      </c>
      <c r="Y5" s="390">
        <f>'5-Frequency'!$E$6</f>
        <v>1.2478668054110303E-2</v>
      </c>
      <c r="Z5" s="390">
        <f>'5-Frequency'!$E$12</f>
        <v>2.8620525059665874E-2</v>
      </c>
      <c r="AA5" s="390">
        <f t="shared" si="2"/>
        <v>1.2</v>
      </c>
      <c r="AB5" s="291"/>
    </row>
    <row r="6" spans="1:28" s="285" customFormat="1" ht="20" customHeight="1" thickBot="1">
      <c r="A6" s="295"/>
      <c r="B6" s="295"/>
      <c r="C6" s="289"/>
      <c r="D6" s="300" t="s">
        <v>667</v>
      </c>
      <c r="E6" s="960" t="s">
        <v>430</v>
      </c>
      <c r="F6" s="961"/>
      <c r="G6" s="289"/>
      <c r="H6" s="289"/>
      <c r="I6" s="289"/>
      <c r="J6" s="289"/>
      <c r="K6" s="289"/>
      <c r="L6" s="408" t="s">
        <v>432</v>
      </c>
      <c r="M6" s="289"/>
      <c r="N6" s="289"/>
      <c r="O6" s="289"/>
      <c r="P6" s="289"/>
      <c r="Q6" s="289"/>
      <c r="R6" s="289"/>
      <c r="S6" s="289"/>
      <c r="T6" s="390">
        <v>99.5</v>
      </c>
      <c r="U6" s="484">
        <v>0.5</v>
      </c>
      <c r="V6" s="390">
        <v>1.8</v>
      </c>
      <c r="W6" s="483">
        <f t="shared" si="0"/>
        <v>50.906595416351685</v>
      </c>
      <c r="X6" s="483">
        <f t="shared" si="1"/>
        <v>43.696408122306678</v>
      </c>
      <c r="Y6" s="390">
        <f>'5-Frequency'!$E$6</f>
        <v>1.2478668054110303E-2</v>
      </c>
      <c r="Z6" s="390">
        <f>'5-Frequency'!$E$12</f>
        <v>2.8620525059665874E-2</v>
      </c>
      <c r="AA6" s="390">
        <f t="shared" si="2"/>
        <v>1.8</v>
      </c>
      <c r="AB6" s="291"/>
    </row>
    <row r="7" spans="1:28" s="285" customFormat="1" ht="20" customHeight="1" thickBot="1">
      <c r="A7" s="295"/>
      <c r="B7" s="295"/>
      <c r="C7" s="289"/>
      <c r="D7" s="300" t="s">
        <v>3</v>
      </c>
      <c r="E7" s="362">
        <v>2.8</v>
      </c>
      <c r="F7" s="459" t="s">
        <v>29</v>
      </c>
      <c r="G7" s="464" t="str">
        <f>IF(OR('7-User Terminal Set-Up'!G19="No", '7-User Terminal Set-Up'!G75="No")=TRUE, "X", "")</f>
        <v/>
      </c>
      <c r="H7" s="334" t="s">
        <v>428</v>
      </c>
      <c r="I7" s="408" t="s">
        <v>431</v>
      </c>
      <c r="J7" s="289"/>
      <c r="K7" s="289"/>
      <c r="L7" s="289"/>
      <c r="M7" s="289"/>
      <c r="N7" s="289"/>
      <c r="O7" s="289"/>
      <c r="P7" s="289"/>
      <c r="Q7" s="289"/>
      <c r="R7" s="289"/>
      <c r="S7" s="289"/>
      <c r="T7" s="390">
        <v>99.9</v>
      </c>
      <c r="U7" s="484">
        <v>1</v>
      </c>
      <c r="V7" s="390">
        <v>2</v>
      </c>
      <c r="W7" s="483">
        <f t="shared" si="0"/>
        <v>51.821745227565181</v>
      </c>
      <c r="X7" s="483">
        <f t="shared" si="1"/>
        <v>44.611557933520189</v>
      </c>
      <c r="Y7" s="390">
        <f>'5-Frequency'!$E$6</f>
        <v>1.2478668054110303E-2</v>
      </c>
      <c r="Z7" s="390">
        <f>'5-Frequency'!$E$12</f>
        <v>2.8620525059665874E-2</v>
      </c>
      <c r="AA7" s="390">
        <f t="shared" si="2"/>
        <v>2</v>
      </c>
      <c r="AB7" s="291"/>
    </row>
    <row r="8" spans="1:28" s="285" customFormat="1" ht="20" customHeight="1">
      <c r="A8" s="295"/>
      <c r="B8" s="295"/>
      <c r="C8" s="289"/>
      <c r="D8" s="300"/>
      <c r="E8" s="301"/>
      <c r="F8" s="302"/>
      <c r="G8" s="289"/>
      <c r="H8" s="289"/>
      <c r="I8" s="289"/>
      <c r="J8" s="289"/>
      <c r="K8" s="289"/>
      <c r="L8" s="289"/>
      <c r="M8" s="289"/>
      <c r="N8" s="289"/>
      <c r="O8" s="289"/>
      <c r="P8" s="289"/>
      <c r="Q8" s="289"/>
      <c r="R8" s="289"/>
      <c r="S8" s="289"/>
      <c r="T8" s="390">
        <v>99.95</v>
      </c>
      <c r="U8" s="484">
        <v>2</v>
      </c>
      <c r="V8" s="390">
        <v>2.8</v>
      </c>
      <c r="W8" s="483">
        <f t="shared" si="0"/>
        <v>54.744305941129944</v>
      </c>
      <c r="X8" s="483">
        <f t="shared" si="1"/>
        <v>47.534118647084938</v>
      </c>
      <c r="Y8" s="390">
        <f>'5-Frequency'!$E$6</f>
        <v>1.2478668054110303E-2</v>
      </c>
      <c r="Z8" s="390">
        <f>'5-Frequency'!$E$12</f>
        <v>2.8620525059665874E-2</v>
      </c>
      <c r="AA8" s="390">
        <f t="shared" si="2"/>
        <v>2.8</v>
      </c>
      <c r="AB8" s="291"/>
    </row>
    <row r="9" spans="1:28" s="285" customFormat="1" ht="20" customHeight="1">
      <c r="A9" s="295"/>
      <c r="B9" s="295"/>
      <c r="C9" s="289"/>
      <c r="D9" s="300" t="s">
        <v>563</v>
      </c>
      <c r="E9" s="342">
        <v>0.01</v>
      </c>
      <c r="F9" s="307" t="s">
        <v>28</v>
      </c>
      <c r="G9" s="408" t="s">
        <v>503</v>
      </c>
      <c r="H9" s="289"/>
      <c r="I9" s="289"/>
      <c r="J9" s="289" t="s">
        <v>3</v>
      </c>
      <c r="K9" s="289"/>
      <c r="L9" s="289"/>
      <c r="M9" s="289"/>
      <c r="N9" s="289"/>
      <c r="O9" s="289"/>
      <c r="P9" s="289"/>
      <c r="Q9" s="289"/>
      <c r="R9" s="289"/>
      <c r="S9" s="289"/>
      <c r="T9" s="390">
        <v>99.995000000000005</v>
      </c>
      <c r="U9" s="390" t="s">
        <v>3</v>
      </c>
      <c r="V9" s="390">
        <v>3.6</v>
      </c>
      <c r="W9" s="483">
        <f t="shared" si="0"/>
        <v>56.927195329631303</v>
      </c>
      <c r="X9" s="483">
        <f t="shared" si="1"/>
        <v>49.717008035586304</v>
      </c>
      <c r="Y9" s="390">
        <f>'5-Frequency'!$E$6</f>
        <v>1.2478668054110303E-2</v>
      </c>
      <c r="Z9" s="390">
        <f>'5-Frequency'!$E$12</f>
        <v>2.8620525059665874E-2</v>
      </c>
      <c r="AA9" s="390">
        <f t="shared" si="2"/>
        <v>3.6</v>
      </c>
      <c r="AB9" s="291"/>
    </row>
    <row r="10" spans="1:28" s="285" customFormat="1" ht="20" customHeight="1">
      <c r="A10" s="295"/>
      <c r="B10" s="295"/>
      <c r="C10" s="289"/>
      <c r="D10" s="300"/>
      <c r="E10" s="371"/>
      <c r="F10" s="302"/>
      <c r="G10" s="289"/>
      <c r="H10" s="289"/>
      <c r="I10" s="289"/>
      <c r="J10" s="289"/>
      <c r="K10" s="289"/>
      <c r="L10" s="289"/>
      <c r="M10" s="289"/>
      <c r="N10" s="289"/>
      <c r="O10" s="289"/>
      <c r="P10" s="289"/>
      <c r="Q10" s="289"/>
      <c r="R10" s="289"/>
      <c r="S10" s="289"/>
      <c r="T10" s="292"/>
      <c r="U10" s="292" t="s">
        <v>3</v>
      </c>
      <c r="V10" s="390">
        <v>7</v>
      </c>
      <c r="W10" s="483">
        <f t="shared" si="0"/>
        <v>62.703106114570694</v>
      </c>
      <c r="X10" s="483">
        <f t="shared" si="1"/>
        <v>55.492918820525688</v>
      </c>
      <c r="Y10" s="390">
        <f>'5-Frequency'!$E$6</f>
        <v>1.2478668054110303E-2</v>
      </c>
      <c r="Z10" s="390">
        <f>'5-Frequency'!$E$12</f>
        <v>2.8620525059665874E-2</v>
      </c>
      <c r="AA10" s="390">
        <f t="shared" si="2"/>
        <v>7</v>
      </c>
      <c r="AB10" s="291"/>
    </row>
    <row r="11" spans="1:28" s="285" customFormat="1" ht="20" customHeight="1">
      <c r="A11" s="295"/>
      <c r="B11" s="458" t="s">
        <v>3</v>
      </c>
      <c r="C11" s="458" t="s">
        <v>3</v>
      </c>
      <c r="D11" s="300" t="s">
        <v>394</v>
      </c>
      <c r="E11" s="342">
        <v>1</v>
      </c>
      <c r="F11" s="307" t="s">
        <v>28</v>
      </c>
      <c r="G11" s="408" t="s">
        <v>423</v>
      </c>
      <c r="H11" s="289"/>
      <c r="I11" s="289"/>
      <c r="J11" s="289"/>
      <c r="K11" s="289"/>
      <c r="L11" s="289"/>
      <c r="M11" s="289"/>
      <c r="N11" s="289"/>
      <c r="O11" s="289"/>
      <c r="P11" s="289"/>
      <c r="Q11" s="289"/>
      <c r="R11" s="289"/>
      <c r="S11" s="289"/>
      <c r="T11" s="292"/>
      <c r="U11" s="292" t="s">
        <v>3</v>
      </c>
      <c r="V11" s="390">
        <v>13</v>
      </c>
      <c r="W11" s="483">
        <f t="shared" si="0"/>
        <v>68.080012360422288</v>
      </c>
      <c r="X11" s="483">
        <f t="shared" si="1"/>
        <v>60.869825066377288</v>
      </c>
      <c r="Y11" s="390">
        <f>'5-Frequency'!$E$6</f>
        <v>1.2478668054110303E-2</v>
      </c>
      <c r="Z11" s="390">
        <f>'5-Frequency'!$E$12</f>
        <v>2.8620525059665874E-2</v>
      </c>
      <c r="AA11" s="390">
        <f t="shared" si="2"/>
        <v>13</v>
      </c>
      <c r="AB11" s="291"/>
    </row>
    <row r="12" spans="1:28" s="285" customFormat="1" ht="20" customHeight="1">
      <c r="A12" s="295"/>
      <c r="B12" s="295"/>
      <c r="C12" s="289"/>
      <c r="D12" s="300"/>
      <c r="E12" s="301"/>
      <c r="F12" s="302"/>
      <c r="G12" s="289"/>
      <c r="H12" s="289"/>
      <c r="I12" s="289"/>
      <c r="J12" s="289"/>
      <c r="K12" s="289"/>
      <c r="L12" s="289"/>
      <c r="M12" s="289"/>
      <c r="N12" s="289"/>
      <c r="O12" s="289"/>
      <c r="P12" s="289"/>
      <c r="Q12" s="289"/>
      <c r="R12" s="289"/>
      <c r="S12" s="289"/>
      <c r="T12" s="292" t="s">
        <v>3</v>
      </c>
      <c r="U12" s="292"/>
      <c r="V12" s="390">
        <v>34</v>
      </c>
      <c r="W12" s="483">
        <f>10*LOG($AA$3*(PI()^2*V12^2)/($Y$3^2))</f>
        <v>76.430723655130663</v>
      </c>
      <c r="X12" s="483">
        <f>10*LOG($AA$3*(PI()^2*V12^2)/($Z$3^2))</f>
        <v>69.220536361085664</v>
      </c>
      <c r="Y12" s="390">
        <f>'5-Frequency'!$E$6</f>
        <v>1.2478668054110303E-2</v>
      </c>
      <c r="Z12" s="390">
        <f>'5-Frequency'!$E$12</f>
        <v>2.8620525059665874E-2</v>
      </c>
      <c r="AA12" s="390">
        <f t="shared" si="2"/>
        <v>34</v>
      </c>
      <c r="AB12" s="291"/>
    </row>
    <row r="13" spans="1:28" s="285" customFormat="1" ht="20" customHeight="1">
      <c r="A13" s="295"/>
      <c r="B13" s="295"/>
      <c r="C13" s="289"/>
      <c r="D13" s="300" t="s">
        <v>364</v>
      </c>
      <c r="E13" s="306">
        <v>1</v>
      </c>
      <c r="F13" s="307" t="s">
        <v>342</v>
      </c>
      <c r="G13" s="500" t="s">
        <v>504</v>
      </c>
      <c r="H13" s="289"/>
      <c r="I13" s="289"/>
      <c r="J13" s="289"/>
      <c r="K13" s="289"/>
      <c r="L13" s="289"/>
      <c r="M13" s="289"/>
      <c r="N13" s="289"/>
      <c r="O13" s="289"/>
      <c r="P13" s="289"/>
      <c r="Q13" s="289"/>
      <c r="R13" s="289"/>
      <c r="S13" s="289"/>
      <c r="T13" s="292"/>
      <c r="U13" s="292"/>
      <c r="V13" s="292" t="s">
        <v>3</v>
      </c>
      <c r="W13" s="293" t="s">
        <v>3</v>
      </c>
      <c r="X13" s="293"/>
      <c r="Y13" s="292"/>
      <c r="Z13" s="292"/>
      <c r="AA13" s="292"/>
      <c r="AB13" s="291"/>
    </row>
    <row r="14" spans="1:28" s="285" customFormat="1" ht="20" customHeight="1" thickBot="1">
      <c r="A14" s="295"/>
      <c r="B14" s="295"/>
      <c r="C14" s="289"/>
      <c r="D14" s="300"/>
      <c r="E14" s="301"/>
      <c r="F14" s="302"/>
      <c r="G14" s="289"/>
      <c r="H14" s="456" t="s">
        <v>3</v>
      </c>
      <c r="I14" s="289"/>
      <c r="J14" s="289"/>
      <c r="K14" s="289"/>
      <c r="L14" s="289"/>
      <c r="M14" s="289"/>
      <c r="N14" s="289"/>
      <c r="O14" s="289"/>
      <c r="P14" s="289"/>
      <c r="Q14" s="289"/>
      <c r="R14" s="289"/>
      <c r="S14" s="289"/>
      <c r="T14" s="292" t="s">
        <v>3</v>
      </c>
      <c r="U14" s="292"/>
      <c r="V14" s="292"/>
      <c r="W14" s="293"/>
      <c r="X14" s="293"/>
      <c r="Y14" s="292"/>
      <c r="Z14" s="292"/>
      <c r="AA14" s="292"/>
      <c r="AB14" s="291"/>
    </row>
    <row r="15" spans="1:28" s="285" customFormat="1" ht="20" customHeight="1" thickBot="1">
      <c r="A15" s="295"/>
      <c r="B15" s="295"/>
      <c r="C15" s="289"/>
      <c r="D15" s="300" t="s">
        <v>319</v>
      </c>
      <c r="E15" s="306">
        <v>99.5</v>
      </c>
      <c r="F15" s="307" t="s">
        <v>293</v>
      </c>
      <c r="G15" s="289"/>
      <c r="H15" s="587" t="s">
        <v>597</v>
      </c>
      <c r="I15" s="457" t="s">
        <v>565</v>
      </c>
      <c r="J15" s="289"/>
      <c r="K15" s="289"/>
      <c r="L15" s="289"/>
      <c r="M15" s="289"/>
      <c r="N15" s="289"/>
      <c r="O15" s="289"/>
      <c r="P15" s="289"/>
      <c r="Q15" s="289"/>
      <c r="R15" s="289"/>
      <c r="S15" s="289"/>
      <c r="T15" s="292"/>
      <c r="U15" s="292"/>
      <c r="V15" s="292"/>
      <c r="W15" s="292"/>
      <c r="X15" s="292"/>
      <c r="Y15" s="292"/>
      <c r="Z15" s="292"/>
      <c r="AA15" s="292"/>
      <c r="AB15" s="291"/>
    </row>
    <row r="16" spans="1:28" s="285" customFormat="1" ht="20" customHeight="1">
      <c r="A16" s="295"/>
      <c r="B16" s="295"/>
      <c r="C16" s="289"/>
      <c r="D16" s="300"/>
      <c r="E16" s="301"/>
      <c r="F16" s="302"/>
      <c r="G16" s="289"/>
      <c r="H16" s="289"/>
      <c r="I16" s="289"/>
      <c r="J16" s="289"/>
      <c r="K16" s="289"/>
      <c r="L16" s="289"/>
      <c r="M16" s="289"/>
      <c r="N16" s="289"/>
      <c r="O16" s="289"/>
      <c r="P16" s="289"/>
      <c r="Q16" s="289"/>
      <c r="R16" s="289"/>
      <c r="S16" s="289"/>
      <c r="T16" s="292"/>
      <c r="U16" s="292"/>
      <c r="V16" s="292"/>
      <c r="W16" s="292"/>
      <c r="X16" s="292"/>
      <c r="Y16" s="292"/>
      <c r="Z16" s="292"/>
      <c r="AA16" s="292"/>
      <c r="AB16" s="291"/>
    </row>
    <row r="17" spans="1:98" s="285" customFormat="1" ht="20" customHeight="1">
      <c r="A17" s="295"/>
      <c r="B17" s="295"/>
      <c r="C17" s="289"/>
      <c r="D17" s="300" t="s">
        <v>665</v>
      </c>
      <c r="E17" s="629">
        <f>'4B-Earth Stations'!E26</f>
        <v>38.380000000000003</v>
      </c>
      <c r="F17" s="630" t="s">
        <v>297</v>
      </c>
      <c r="G17" s="289"/>
      <c r="H17" s="289"/>
      <c r="I17" s="289"/>
      <c r="J17" s="289"/>
      <c r="K17" s="289"/>
      <c r="L17" s="289"/>
      <c r="M17" s="289"/>
      <c r="N17" s="289"/>
      <c r="O17" s="289"/>
      <c r="P17" s="289"/>
      <c r="Q17" s="289"/>
      <c r="R17" s="289"/>
      <c r="S17" s="289"/>
      <c r="T17" s="292"/>
      <c r="U17" s="292"/>
      <c r="V17" s="292"/>
      <c r="W17" s="292"/>
      <c r="X17" s="292"/>
      <c r="Y17" s="292"/>
      <c r="Z17" s="292"/>
      <c r="AA17" s="292"/>
      <c r="AB17" s="291"/>
    </row>
    <row r="18" spans="1:98" s="285" customFormat="1" ht="20" customHeight="1">
      <c r="A18" s="295"/>
      <c r="B18" s="295"/>
      <c r="C18" s="289"/>
      <c r="D18" s="300"/>
      <c r="E18" s="301"/>
      <c r="F18" s="302"/>
      <c r="G18" s="289"/>
      <c r="H18" s="962" t="str" cm="1">
        <f t="array" ref="H18">'4B-Earth Stations'!C26:C26</f>
        <v>Haswell Site, DSES, CO, USA</v>
      </c>
      <c r="I18" s="963"/>
      <c r="J18" s="964"/>
      <c r="K18" s="289"/>
      <c r="L18" s="457" t="s">
        <v>599</v>
      </c>
      <c r="M18" s="289"/>
      <c r="N18" s="289"/>
      <c r="O18" s="289"/>
      <c r="P18" s="289"/>
      <c r="Q18" s="289"/>
      <c r="R18" s="289"/>
      <c r="S18" s="289"/>
      <c r="T18" s="292"/>
      <c r="U18" s="292"/>
      <c r="V18" s="292"/>
      <c r="W18" s="292"/>
      <c r="X18" s="292"/>
      <c r="Y18" s="292"/>
      <c r="Z18" s="292"/>
      <c r="AA18" s="292"/>
      <c r="AB18" s="291"/>
    </row>
    <row r="19" spans="1:98" s="285" customFormat="1" ht="20" customHeight="1">
      <c r="A19" s="295"/>
      <c r="B19" s="295"/>
      <c r="C19" s="289"/>
      <c r="D19" s="300" t="s">
        <v>666</v>
      </c>
      <c r="E19" s="629">
        <f>'4B-Earth Stations'!F26</f>
        <v>-103.16</v>
      </c>
      <c r="F19" s="630" t="s">
        <v>297</v>
      </c>
      <c r="G19" s="289"/>
      <c r="H19" s="967" t="s">
        <v>487</v>
      </c>
      <c r="I19" s="967"/>
      <c r="J19" s="967"/>
      <c r="K19" s="289"/>
      <c r="L19" s="407" t="s">
        <v>660</v>
      </c>
      <c r="M19" s="289"/>
      <c r="N19" s="289"/>
      <c r="O19" s="289"/>
      <c r="P19" s="289"/>
      <c r="Q19" s="289"/>
      <c r="R19" s="289"/>
      <c r="S19" s="289"/>
      <c r="T19" s="292"/>
      <c r="U19" s="292"/>
      <c r="V19" s="292"/>
      <c r="W19" s="292"/>
      <c r="X19" s="292"/>
      <c r="Y19" s="292"/>
      <c r="Z19" s="292"/>
      <c r="AA19" s="292"/>
      <c r="AB19" s="291"/>
    </row>
    <row r="20" spans="1:98" s="285" customFormat="1" ht="20" customHeight="1">
      <c r="A20" s="295"/>
      <c r="B20" s="295"/>
      <c r="C20" s="289"/>
      <c r="D20" s="289"/>
      <c r="E20" s="290"/>
      <c r="F20" s="289"/>
      <c r="G20" s="289"/>
      <c r="H20" s="289"/>
      <c r="I20" s="289"/>
      <c r="J20" s="289"/>
      <c r="K20" s="289"/>
      <c r="L20" s="289"/>
      <c r="M20" s="289"/>
      <c r="N20" s="289"/>
      <c r="O20" s="289"/>
      <c r="P20" s="289"/>
      <c r="Q20" s="289"/>
      <c r="R20" s="289"/>
      <c r="S20" s="289"/>
      <c r="T20" s="292"/>
      <c r="U20" s="292"/>
      <c r="V20" s="292"/>
      <c r="W20" s="292"/>
      <c r="X20" s="292"/>
      <c r="Y20" s="292"/>
      <c r="Z20" s="292"/>
      <c r="AA20" s="292"/>
      <c r="AB20" s="291"/>
    </row>
    <row r="21" spans="1:98" s="287" customFormat="1" ht="15" customHeight="1">
      <c r="A21" s="286"/>
      <c r="B21" s="286"/>
      <c r="C21" s="286"/>
      <c r="D21" s="286"/>
      <c r="E21" s="288"/>
      <c r="F21" s="286"/>
      <c r="G21" s="286"/>
      <c r="H21" s="286"/>
      <c r="I21" s="286"/>
      <c r="J21" s="286"/>
      <c r="K21" s="286"/>
      <c r="L21" s="286"/>
      <c r="M21" s="286"/>
      <c r="N21" s="286"/>
      <c r="O21" s="286"/>
      <c r="P21" s="286"/>
      <c r="Q21" s="286"/>
      <c r="R21" s="286"/>
      <c r="S21" s="286"/>
      <c r="T21" s="286"/>
      <c r="U21" s="286"/>
      <c r="V21" s="286"/>
      <c r="W21" s="286"/>
      <c r="X21" s="286"/>
      <c r="Y21" s="286"/>
      <c r="Z21" s="286"/>
      <c r="AA21" s="286"/>
      <c r="AB21" s="286"/>
      <c r="AC21" s="285"/>
      <c r="AD21" s="285"/>
      <c r="AE21" s="285"/>
      <c r="AF21" s="285"/>
      <c r="AG21" s="285"/>
      <c r="AH21" s="285"/>
      <c r="AI21" s="285"/>
      <c r="AJ21" s="285"/>
      <c r="AK21" s="285"/>
      <c r="AL21" s="285"/>
      <c r="AM21" s="285"/>
      <c r="AN21" s="285"/>
      <c r="AO21" s="285"/>
      <c r="AP21" s="285"/>
      <c r="AQ21" s="285"/>
      <c r="AR21" s="285"/>
      <c r="AS21" s="285"/>
      <c r="AT21" s="285"/>
      <c r="AU21" s="285"/>
      <c r="AV21" s="285"/>
      <c r="AW21" s="285"/>
      <c r="AX21" s="285"/>
      <c r="AY21" s="285"/>
      <c r="AZ21" s="285"/>
      <c r="BA21" s="285"/>
      <c r="BB21" s="285"/>
      <c r="BC21" s="285"/>
      <c r="BD21" s="285"/>
      <c r="BE21" s="285"/>
      <c r="BF21" s="285"/>
      <c r="BG21" s="285"/>
      <c r="BH21" s="285"/>
      <c r="BI21" s="285"/>
      <c r="BJ21" s="285"/>
      <c r="BK21" s="285"/>
      <c r="BL21" s="285"/>
      <c r="BM21" s="285"/>
      <c r="BN21" s="285"/>
      <c r="BO21" s="285"/>
      <c r="BP21" s="285"/>
      <c r="BQ21" s="285"/>
      <c r="BR21" s="285"/>
      <c r="BS21" s="285"/>
      <c r="BT21" s="285"/>
      <c r="BU21" s="285"/>
      <c r="BV21" s="285"/>
      <c r="BW21" s="285"/>
      <c r="BX21" s="285"/>
      <c r="BY21" s="285"/>
      <c r="BZ21" s="285"/>
      <c r="CA21" s="285"/>
      <c r="CB21" s="285"/>
      <c r="CC21" s="285"/>
      <c r="CD21" s="285"/>
      <c r="CE21" s="285"/>
      <c r="CF21" s="285"/>
      <c r="CG21" s="285"/>
      <c r="CH21" s="285"/>
      <c r="CI21" s="285"/>
      <c r="CJ21" s="285"/>
      <c r="CK21" s="285"/>
      <c r="CL21" s="285"/>
      <c r="CM21" s="285"/>
      <c r="CN21" s="285"/>
      <c r="CO21" s="285"/>
      <c r="CP21" s="285"/>
      <c r="CQ21" s="285"/>
    </row>
    <row r="22" spans="1:98" s="286" customFormat="1" ht="15" customHeight="1">
      <c r="A22" s="295"/>
      <c r="B22" s="295"/>
      <c r="C22" s="292" t="s">
        <v>3</v>
      </c>
      <c r="D22" s="295"/>
      <c r="E22" s="296"/>
      <c r="F22" s="295"/>
      <c r="G22" s="295"/>
      <c r="H22" s="295"/>
      <c r="I22" s="295"/>
      <c r="J22" s="295"/>
      <c r="K22" s="295"/>
      <c r="L22" s="295"/>
      <c r="M22" s="295"/>
      <c r="N22" s="295"/>
      <c r="O22" s="295"/>
      <c r="P22" s="295"/>
      <c r="Q22" s="295"/>
      <c r="R22" s="295"/>
      <c r="S22" s="295"/>
      <c r="T22" s="295"/>
      <c r="U22" s="295"/>
      <c r="V22" s="295"/>
      <c r="W22" s="295"/>
      <c r="X22" s="295"/>
      <c r="Y22" s="295"/>
      <c r="Z22" s="295"/>
      <c r="AA22" s="295"/>
      <c r="AB22" s="295"/>
      <c r="AC22" s="285"/>
      <c r="AD22" s="285"/>
      <c r="AE22" s="285"/>
      <c r="AF22" s="285"/>
      <c r="AG22" s="285"/>
      <c r="AH22" s="285"/>
      <c r="AI22" s="285"/>
      <c r="AJ22" s="285"/>
      <c r="AK22" s="285"/>
      <c r="AL22" s="285"/>
      <c r="AM22" s="285"/>
      <c r="AN22" s="285"/>
      <c r="AO22" s="285"/>
      <c r="AP22" s="285"/>
      <c r="AQ22" s="285"/>
      <c r="AR22" s="285"/>
      <c r="AS22" s="285"/>
      <c r="AT22" s="285"/>
      <c r="AU22" s="285"/>
      <c r="AV22" s="285"/>
      <c r="AW22" s="285"/>
      <c r="AX22" s="285"/>
      <c r="AY22" s="285"/>
      <c r="AZ22" s="285"/>
      <c r="BA22" s="285"/>
      <c r="BB22" s="285"/>
      <c r="BC22" s="285"/>
      <c r="BD22" s="285"/>
      <c r="BE22" s="285"/>
      <c r="BF22" s="285"/>
      <c r="BG22" s="285"/>
      <c r="BH22" s="285"/>
      <c r="BI22" s="285"/>
      <c r="BJ22" s="285"/>
      <c r="BK22" s="285"/>
      <c r="BL22" s="285"/>
      <c r="BM22" s="285"/>
      <c r="BN22" s="285"/>
      <c r="BO22" s="285"/>
      <c r="BP22" s="285"/>
      <c r="BQ22" s="285"/>
      <c r="BR22" s="285"/>
      <c r="BS22" s="285"/>
      <c r="BT22" s="285"/>
      <c r="BU22" s="285"/>
      <c r="BV22" s="285"/>
      <c r="BW22" s="285"/>
      <c r="BX22" s="285"/>
      <c r="BY22" s="285"/>
      <c r="BZ22" s="285"/>
      <c r="CA22" s="285"/>
      <c r="CB22" s="285"/>
      <c r="CC22" s="285"/>
      <c r="CD22" s="285"/>
      <c r="CE22" s="285"/>
      <c r="CF22" s="285"/>
      <c r="CG22" s="285"/>
      <c r="CH22" s="285"/>
      <c r="CI22" s="285"/>
      <c r="CJ22" s="285"/>
      <c r="CK22" s="285"/>
      <c r="CL22" s="285"/>
      <c r="CM22" s="285"/>
      <c r="CN22" s="285"/>
      <c r="CO22" s="285"/>
      <c r="CP22" s="285"/>
      <c r="CQ22" s="285"/>
      <c r="CR22" s="285"/>
      <c r="CS22" s="285"/>
      <c r="CT22" s="285"/>
    </row>
    <row r="23" spans="1:98" s="286" customFormat="1" ht="21" customHeight="1">
      <c r="A23" s="295"/>
      <c r="B23" s="295"/>
      <c r="C23" s="295"/>
      <c r="D23" s="335" t="s">
        <v>558</v>
      </c>
      <c r="E23" s="296"/>
      <c r="F23" s="295"/>
      <c r="G23" s="295"/>
      <c r="H23" s="295"/>
      <c r="I23" s="295"/>
      <c r="J23" s="295"/>
      <c r="K23" s="295"/>
      <c r="L23" s="295"/>
      <c r="M23" s="295"/>
      <c r="N23" s="295"/>
      <c r="O23" s="295"/>
      <c r="P23" s="295"/>
      <c r="Q23" s="295"/>
      <c r="R23" s="295"/>
      <c r="S23" s="295"/>
      <c r="T23" s="295"/>
      <c r="U23" s="295"/>
      <c r="V23" s="295"/>
      <c r="W23" s="295"/>
      <c r="X23" s="295"/>
      <c r="Y23" s="295"/>
      <c r="Z23" s="295"/>
      <c r="AA23" s="295"/>
      <c r="AB23" s="295"/>
      <c r="AC23" s="285"/>
      <c r="AD23" s="285"/>
      <c r="AE23" s="285"/>
      <c r="AF23" s="285"/>
      <c r="AG23" s="285"/>
      <c r="AH23" s="285"/>
      <c r="AI23" s="285"/>
      <c r="AJ23" s="285"/>
      <c r="AK23" s="285"/>
      <c r="AL23" s="285"/>
      <c r="AM23" s="285"/>
      <c r="AN23" s="285"/>
      <c r="AO23" s="285"/>
      <c r="AP23" s="285"/>
      <c r="AQ23" s="285"/>
      <c r="AR23" s="285"/>
      <c r="AS23" s="285"/>
      <c r="AT23" s="285"/>
      <c r="AU23" s="285"/>
      <c r="AV23" s="285"/>
      <c r="AW23" s="285"/>
      <c r="AX23" s="285"/>
      <c r="AY23" s="285"/>
      <c r="AZ23" s="285"/>
      <c r="BA23" s="285"/>
      <c r="BB23" s="285"/>
      <c r="BC23" s="285"/>
      <c r="BD23" s="285"/>
      <c r="BE23" s="285"/>
      <c r="BF23" s="285"/>
      <c r="BG23" s="285"/>
      <c r="BH23" s="285"/>
      <c r="BI23" s="285"/>
      <c r="BJ23" s="285"/>
      <c r="BK23" s="285"/>
      <c r="BL23" s="285"/>
      <c r="BM23" s="285"/>
      <c r="BN23" s="285"/>
      <c r="BO23" s="285"/>
      <c r="BP23" s="285"/>
      <c r="BQ23" s="285"/>
      <c r="BR23" s="285"/>
      <c r="BS23" s="285"/>
      <c r="BT23" s="285"/>
      <c r="BU23" s="285"/>
      <c r="BV23" s="285"/>
      <c r="BW23" s="285"/>
      <c r="BX23" s="285"/>
      <c r="BY23" s="285"/>
      <c r="BZ23" s="285"/>
      <c r="CA23" s="285"/>
      <c r="CB23" s="285"/>
      <c r="CC23" s="285"/>
      <c r="CD23" s="285"/>
      <c r="CE23" s="285"/>
      <c r="CF23" s="285"/>
      <c r="CG23" s="285"/>
      <c r="CH23" s="285"/>
      <c r="CI23" s="285"/>
      <c r="CJ23" s="285"/>
      <c r="CK23" s="285"/>
      <c r="CL23" s="285"/>
      <c r="CM23" s="285"/>
      <c r="CN23" s="285"/>
      <c r="CO23" s="285"/>
      <c r="CP23" s="285"/>
      <c r="CQ23" s="285"/>
      <c r="CR23" s="285"/>
      <c r="CS23" s="285"/>
      <c r="CT23" s="285"/>
    </row>
    <row r="24" spans="1:98" s="286" customFormat="1" ht="15" customHeight="1">
      <c r="A24" s="295"/>
      <c r="B24" s="295"/>
      <c r="C24" s="295"/>
      <c r="D24" s="295"/>
      <c r="E24" s="296"/>
      <c r="F24" s="295"/>
      <c r="G24" s="295"/>
      <c r="H24" s="295"/>
      <c r="I24" s="295"/>
      <c r="J24" s="295"/>
      <c r="K24" s="295"/>
      <c r="L24" s="295"/>
      <c r="M24" s="295"/>
      <c r="N24" s="295"/>
      <c r="O24" s="295"/>
      <c r="P24" s="295"/>
      <c r="Q24" s="295"/>
      <c r="R24" s="295"/>
      <c r="S24" s="295"/>
      <c r="T24" s="295"/>
      <c r="U24" s="295"/>
      <c r="V24" s="295"/>
      <c r="W24" s="295"/>
      <c r="X24" s="295"/>
      <c r="Y24" s="295"/>
      <c r="Z24" s="295"/>
      <c r="AA24" s="295"/>
      <c r="AB24" s="295"/>
      <c r="AC24" s="285"/>
      <c r="AD24" s="285"/>
      <c r="AE24" s="285"/>
      <c r="AF24" s="285"/>
      <c r="AG24" s="285"/>
      <c r="AH24" s="285"/>
      <c r="AI24" s="285"/>
      <c r="AJ24" s="285"/>
      <c r="AK24" s="285"/>
      <c r="AL24" s="285"/>
      <c r="AM24" s="285"/>
      <c r="AN24" s="285"/>
      <c r="AO24" s="285"/>
      <c r="AP24" s="285"/>
      <c r="AQ24" s="285"/>
      <c r="AR24" s="285"/>
      <c r="AS24" s="285"/>
      <c r="AT24" s="285"/>
      <c r="AU24" s="285"/>
      <c r="AV24" s="285"/>
      <c r="AW24" s="285"/>
      <c r="AX24" s="285"/>
      <c r="AY24" s="285"/>
      <c r="AZ24" s="285"/>
      <c r="BA24" s="285"/>
      <c r="BB24" s="285"/>
      <c r="BC24" s="285"/>
      <c r="BD24" s="285"/>
      <c r="BE24" s="285"/>
      <c r="BF24" s="285"/>
      <c r="BG24" s="285"/>
      <c r="BH24" s="285"/>
      <c r="BI24" s="285"/>
      <c r="BJ24" s="285"/>
      <c r="BK24" s="285"/>
      <c r="BL24" s="285"/>
      <c r="BM24" s="285"/>
      <c r="BN24" s="285"/>
      <c r="BO24" s="285"/>
      <c r="BP24" s="285"/>
      <c r="BQ24" s="285"/>
      <c r="BR24" s="285"/>
      <c r="BS24" s="285"/>
      <c r="BT24" s="285"/>
      <c r="BU24" s="285"/>
      <c r="BV24" s="285"/>
      <c r="BW24" s="285"/>
      <c r="BX24" s="285"/>
      <c r="BY24" s="285"/>
      <c r="BZ24" s="285"/>
      <c r="CA24" s="285"/>
      <c r="CB24" s="285"/>
      <c r="CC24" s="285"/>
      <c r="CD24" s="285"/>
      <c r="CE24" s="285"/>
      <c r="CF24" s="285"/>
      <c r="CG24" s="285"/>
      <c r="CH24" s="285"/>
      <c r="CI24" s="285"/>
      <c r="CJ24" s="285"/>
      <c r="CK24" s="285"/>
      <c r="CL24" s="285"/>
      <c r="CM24" s="285"/>
      <c r="CN24" s="285"/>
      <c r="CO24" s="285"/>
      <c r="CP24" s="285"/>
      <c r="CQ24" s="285"/>
      <c r="CR24" s="285"/>
      <c r="CS24" s="285"/>
      <c r="CT24" s="285"/>
    </row>
    <row r="25" spans="1:98" s="286" customFormat="1" ht="20.25" customHeight="1">
      <c r="A25" s="295"/>
      <c r="B25" s="295"/>
      <c r="C25" s="381"/>
      <c r="D25" s="382" t="s">
        <v>561</v>
      </c>
      <c r="E25" s="383" t="s">
        <v>396</v>
      </c>
      <c r="F25" s="511" t="s">
        <v>512</v>
      </c>
      <c r="G25" s="384"/>
      <c r="H25" s="571" t="s">
        <v>683</v>
      </c>
      <c r="I25" s="384"/>
      <c r="J25" s="384"/>
      <c r="K25" s="385"/>
      <c r="L25" s="295"/>
      <c r="M25" s="295"/>
      <c r="N25" s="295"/>
      <c r="O25" s="295"/>
      <c r="P25" s="295"/>
      <c r="Q25" s="295"/>
      <c r="R25" s="295"/>
      <c r="S25" s="295"/>
      <c r="T25" s="295"/>
      <c r="U25" s="295"/>
      <c r="V25" s="295"/>
      <c r="W25" s="295"/>
      <c r="X25" s="295"/>
      <c r="Y25" s="295"/>
      <c r="Z25" s="295"/>
      <c r="AA25" s="295"/>
      <c r="AB25" s="295"/>
      <c r="AC25" s="285"/>
      <c r="AD25" s="285"/>
      <c r="AE25" s="285"/>
      <c r="AF25" s="285"/>
      <c r="AG25" s="285"/>
      <c r="AH25" s="285"/>
      <c r="AI25" s="285"/>
      <c r="AJ25" s="285"/>
      <c r="AK25" s="285"/>
      <c r="AL25" s="285"/>
      <c r="AM25" s="285"/>
      <c r="AN25" s="285"/>
      <c r="AO25" s="285"/>
      <c r="AP25" s="285"/>
      <c r="AQ25" s="285"/>
      <c r="AR25" s="285"/>
      <c r="AS25" s="285"/>
      <c r="AT25" s="285"/>
      <c r="AU25" s="285"/>
      <c r="AV25" s="285"/>
      <c r="AW25" s="285"/>
      <c r="AX25" s="285"/>
      <c r="AY25" s="285"/>
      <c r="AZ25" s="285"/>
      <c r="BA25" s="285"/>
      <c r="BB25" s="285"/>
      <c r="BC25" s="285"/>
      <c r="BD25" s="285"/>
      <c r="BE25" s="285"/>
      <c r="BF25" s="285"/>
      <c r="BG25" s="285"/>
      <c r="BH25" s="285"/>
      <c r="BI25" s="285"/>
      <c r="BJ25" s="285"/>
      <c r="BK25" s="285"/>
      <c r="BL25" s="285"/>
      <c r="BM25" s="285"/>
      <c r="BN25" s="285"/>
      <c r="BO25" s="285"/>
      <c r="BP25" s="285"/>
      <c r="BQ25" s="285"/>
      <c r="BR25" s="285"/>
      <c r="BS25" s="285"/>
      <c r="BT25" s="285"/>
      <c r="BU25" s="285"/>
      <c r="BV25" s="285"/>
      <c r="BW25" s="285"/>
      <c r="BX25" s="285"/>
      <c r="BY25" s="285"/>
      <c r="BZ25" s="285"/>
      <c r="CA25" s="285"/>
      <c r="CB25" s="285"/>
      <c r="CC25" s="285"/>
      <c r="CD25" s="285"/>
      <c r="CE25" s="285"/>
      <c r="CF25" s="285"/>
      <c r="CG25" s="285"/>
      <c r="CH25" s="285"/>
      <c r="CI25" s="285"/>
      <c r="CJ25" s="285"/>
      <c r="CK25" s="285"/>
      <c r="CL25" s="285"/>
      <c r="CM25" s="285"/>
      <c r="CN25" s="285"/>
      <c r="CO25" s="285"/>
      <c r="CP25" s="285"/>
      <c r="CQ25" s="285"/>
      <c r="CR25" s="285"/>
      <c r="CS25" s="285"/>
      <c r="CT25" s="285"/>
    </row>
    <row r="26" spans="1:98" s="286" customFormat="1" ht="15" customHeight="1">
      <c r="A26" s="295"/>
      <c r="B26" s="295"/>
      <c r="C26" s="386"/>
      <c r="D26" s="295"/>
      <c r="E26" s="296"/>
      <c r="F26" s="295"/>
      <c r="G26" s="295"/>
      <c r="H26" s="295"/>
      <c r="I26" s="295"/>
      <c r="J26" s="295"/>
      <c r="K26" s="387"/>
      <c r="L26" s="295"/>
      <c r="M26" s="295"/>
      <c r="N26" s="295"/>
      <c r="O26" s="295"/>
      <c r="P26" s="295"/>
      <c r="Q26" s="295"/>
      <c r="R26" s="295"/>
      <c r="S26" s="295"/>
      <c r="T26" s="295"/>
      <c r="U26" s="295"/>
      <c r="V26" s="295"/>
      <c r="W26" s="295"/>
      <c r="X26" s="295"/>
      <c r="Y26" s="295"/>
      <c r="Z26" s="295"/>
      <c r="AA26" s="295"/>
      <c r="AB26" s="295"/>
      <c r="AC26" s="285"/>
      <c r="AD26" s="285"/>
      <c r="AE26" s="285"/>
      <c r="AF26" s="285"/>
      <c r="AG26" s="285"/>
      <c r="AH26" s="285"/>
      <c r="AI26" s="285"/>
      <c r="AJ26" s="285"/>
      <c r="AK26" s="285"/>
      <c r="AL26" s="285"/>
      <c r="AM26" s="285"/>
      <c r="AN26" s="285"/>
      <c r="AO26" s="285"/>
      <c r="AP26" s="285"/>
      <c r="AQ26" s="285"/>
      <c r="AR26" s="285"/>
      <c r="AS26" s="285"/>
      <c r="AT26" s="285"/>
      <c r="AU26" s="285"/>
      <c r="AV26" s="285"/>
      <c r="AW26" s="285"/>
      <c r="AX26" s="285"/>
      <c r="AY26" s="285"/>
      <c r="AZ26" s="285"/>
      <c r="BA26" s="285"/>
      <c r="BB26" s="285"/>
      <c r="BC26" s="285"/>
      <c r="BD26" s="285"/>
      <c r="BE26" s="285"/>
      <c r="BF26" s="285"/>
      <c r="BG26" s="285"/>
      <c r="BH26" s="285"/>
      <c r="BI26" s="285"/>
      <c r="BJ26" s="285"/>
      <c r="BK26" s="285"/>
      <c r="BL26" s="285"/>
      <c r="BM26" s="285"/>
      <c r="BN26" s="285"/>
      <c r="BO26" s="285"/>
      <c r="BP26" s="285"/>
      <c r="BQ26" s="285"/>
      <c r="BR26" s="285"/>
      <c r="BS26" s="285"/>
      <c r="BT26" s="285"/>
      <c r="BU26" s="285"/>
      <c r="BV26" s="285"/>
      <c r="BW26" s="285"/>
      <c r="BX26" s="285"/>
      <c r="BY26" s="285"/>
      <c r="BZ26" s="285"/>
      <c r="CA26" s="285"/>
      <c r="CB26" s="285"/>
      <c r="CC26" s="285"/>
      <c r="CD26" s="285"/>
      <c r="CE26" s="285"/>
      <c r="CF26" s="285"/>
      <c r="CG26" s="285"/>
      <c r="CH26" s="285"/>
      <c r="CI26" s="285"/>
      <c r="CJ26" s="285"/>
      <c r="CK26" s="285"/>
      <c r="CL26" s="285"/>
      <c r="CM26" s="285"/>
      <c r="CN26" s="285"/>
      <c r="CO26" s="285"/>
      <c r="CP26" s="285"/>
      <c r="CQ26" s="285"/>
      <c r="CR26" s="285"/>
      <c r="CS26" s="285"/>
      <c r="CT26" s="285"/>
    </row>
    <row r="27" spans="1:98" s="286" customFormat="1" ht="18" customHeight="1">
      <c r="A27" s="295"/>
      <c r="B27" s="295"/>
      <c r="C27" s="386"/>
      <c r="D27" s="300" t="s">
        <v>337</v>
      </c>
      <c r="E27" s="333">
        <f>'10A-Uplink DVBS2 ModCOD'!F7</f>
        <v>9.5238095238095229E-3</v>
      </c>
      <c r="F27" s="339" t="s">
        <v>402</v>
      </c>
      <c r="G27" s="295"/>
      <c r="H27" s="295"/>
      <c r="I27" s="295"/>
      <c r="J27" s="295"/>
      <c r="K27" s="387"/>
      <c r="L27" s="295"/>
      <c r="M27" s="295"/>
      <c r="N27" s="295"/>
      <c r="O27" s="295"/>
      <c r="P27" s="295"/>
      <c r="Q27" s="295"/>
      <c r="R27" s="295"/>
      <c r="S27" s="295"/>
      <c r="T27" s="295"/>
      <c r="U27" s="295"/>
      <c r="V27" s="295"/>
      <c r="W27" s="295"/>
      <c r="X27" s="295"/>
      <c r="Y27" s="295"/>
      <c r="Z27" s="295"/>
      <c r="AA27" s="295"/>
      <c r="AB27" s="295"/>
      <c r="AC27" s="285"/>
      <c r="AD27" s="285"/>
      <c r="AE27" s="285"/>
      <c r="AF27" s="285"/>
      <c r="AG27" s="285"/>
      <c r="AH27" s="285"/>
      <c r="AI27" s="285"/>
      <c r="AJ27" s="285"/>
      <c r="AK27" s="285"/>
      <c r="AL27" s="285"/>
      <c r="AM27" s="285"/>
      <c r="AN27" s="285"/>
      <c r="AO27" s="285"/>
      <c r="AP27" s="285"/>
      <c r="AQ27" s="285"/>
      <c r="AR27" s="285"/>
      <c r="AS27" s="285"/>
      <c r="AT27" s="285"/>
      <c r="AU27" s="285"/>
      <c r="AV27" s="285"/>
      <c r="AW27" s="285"/>
      <c r="AX27" s="285"/>
      <c r="AY27" s="285"/>
      <c r="AZ27" s="285"/>
      <c r="BA27" s="285"/>
      <c r="BB27" s="285"/>
      <c r="BC27" s="285"/>
      <c r="BD27" s="285"/>
      <c r="BE27" s="285"/>
      <c r="BF27" s="285"/>
      <c r="BG27" s="285"/>
      <c r="BH27" s="285"/>
      <c r="BI27" s="285"/>
      <c r="BJ27" s="285"/>
      <c r="BK27" s="285"/>
      <c r="BL27" s="285"/>
      <c r="BM27" s="285"/>
      <c r="BN27" s="285"/>
      <c r="BO27" s="285"/>
      <c r="BP27" s="285"/>
      <c r="BQ27" s="285"/>
      <c r="BR27" s="285"/>
      <c r="BS27" s="285"/>
      <c r="BT27" s="285"/>
      <c r="BU27" s="285"/>
      <c r="BV27" s="285"/>
      <c r="BW27" s="285"/>
      <c r="BX27" s="285"/>
      <c r="BY27" s="285"/>
      <c r="BZ27" s="285"/>
      <c r="CA27" s="285"/>
      <c r="CB27" s="285"/>
      <c r="CC27" s="285"/>
      <c r="CD27" s="285"/>
      <c r="CE27" s="285"/>
      <c r="CF27" s="285"/>
      <c r="CG27" s="285"/>
      <c r="CH27" s="285"/>
      <c r="CI27" s="285"/>
      <c r="CJ27" s="285"/>
      <c r="CK27" s="285"/>
      <c r="CL27" s="285"/>
      <c r="CM27" s="285"/>
      <c r="CN27" s="285"/>
      <c r="CO27" s="285"/>
      <c r="CP27" s="285"/>
      <c r="CQ27" s="285"/>
      <c r="CR27" s="285"/>
      <c r="CS27" s="285"/>
      <c r="CT27" s="285"/>
    </row>
    <row r="28" spans="1:98" s="286" customFormat="1" ht="15" customHeight="1">
      <c r="A28" s="295"/>
      <c r="B28" s="295"/>
      <c r="C28" s="386"/>
      <c r="D28" s="295"/>
      <c r="E28" s="296"/>
      <c r="F28" s="295"/>
      <c r="G28" s="295"/>
      <c r="H28" s="295"/>
      <c r="I28" s="295"/>
      <c r="J28" s="295"/>
      <c r="K28" s="387"/>
      <c r="L28" s="295"/>
      <c r="M28" s="295"/>
      <c r="N28" s="295"/>
      <c r="O28" s="295"/>
      <c r="P28" s="295"/>
      <c r="Q28" s="295"/>
      <c r="R28" s="295"/>
      <c r="S28" s="295"/>
      <c r="T28" s="295"/>
      <c r="U28" s="295"/>
      <c r="V28" s="295"/>
      <c r="W28" s="295"/>
      <c r="X28" s="295"/>
      <c r="Y28" s="295"/>
      <c r="Z28" s="295"/>
      <c r="AA28" s="295"/>
      <c r="AB28" s="295"/>
      <c r="AC28" s="285"/>
      <c r="AD28" s="285"/>
      <c r="AE28" s="285"/>
      <c r="AF28" s="285"/>
      <c r="AG28" s="285"/>
      <c r="AH28" s="285"/>
      <c r="AI28" s="285"/>
      <c r="AJ28" s="285"/>
      <c r="AK28" s="285"/>
      <c r="AL28" s="285"/>
      <c r="AM28" s="285"/>
      <c r="AN28" s="285"/>
      <c r="AO28" s="285"/>
      <c r="AP28" s="285"/>
      <c r="AQ28" s="285"/>
      <c r="AR28" s="285"/>
      <c r="AS28" s="285"/>
      <c r="AT28" s="285"/>
      <c r="AU28" s="285"/>
      <c r="AV28" s="285"/>
      <c r="AW28" s="285"/>
      <c r="AX28" s="285"/>
      <c r="AY28" s="285"/>
      <c r="AZ28" s="285"/>
      <c r="BA28" s="285"/>
      <c r="BB28" s="285"/>
      <c r="BC28" s="285"/>
      <c r="BD28" s="285"/>
      <c r="BE28" s="285"/>
      <c r="BF28" s="285"/>
      <c r="BG28" s="285"/>
      <c r="BH28" s="285"/>
      <c r="BI28" s="285"/>
      <c r="BJ28" s="285"/>
      <c r="BK28" s="285"/>
      <c r="BL28" s="285"/>
      <c r="BM28" s="285"/>
      <c r="BN28" s="285"/>
      <c r="BO28" s="285"/>
      <c r="BP28" s="285"/>
      <c r="BQ28" s="285"/>
      <c r="BR28" s="285"/>
      <c r="BS28" s="285"/>
      <c r="BT28" s="285"/>
      <c r="BU28" s="285"/>
      <c r="BV28" s="285"/>
      <c r="BW28" s="285"/>
      <c r="BX28" s="285"/>
      <c r="BY28" s="285"/>
      <c r="BZ28" s="285"/>
      <c r="CA28" s="285"/>
      <c r="CB28" s="285"/>
      <c r="CC28" s="285"/>
      <c r="CD28" s="285"/>
      <c r="CE28" s="285"/>
      <c r="CF28" s="285"/>
      <c r="CG28" s="285"/>
      <c r="CH28" s="285"/>
      <c r="CI28" s="285"/>
      <c r="CJ28" s="285"/>
      <c r="CK28" s="285"/>
      <c r="CL28" s="285"/>
      <c r="CM28" s="285"/>
      <c r="CN28" s="285"/>
      <c r="CO28" s="285"/>
      <c r="CP28" s="285"/>
      <c r="CQ28" s="285"/>
      <c r="CR28" s="285"/>
      <c r="CS28" s="285"/>
      <c r="CT28" s="285"/>
    </row>
    <row r="29" spans="1:98" s="286" customFormat="1" ht="17.25" customHeight="1">
      <c r="A29" s="295"/>
      <c r="B29" s="295"/>
      <c r="C29" s="386"/>
      <c r="D29" s="300" t="s">
        <v>332</v>
      </c>
      <c r="E29" s="487" t="e">
        <f ca="1">IF(E41&lt;'10A-Uplink DVBS2 ModCOD'!H7, "No Link",INDEX('10A-Uplink DVBS2 ModCOD'!C7:'10A-Uplink DVBS2 ModCOD'!C34,MATCH(E41,'10A-Uplink DVBS2 ModCOD'!H7:'10A-Uplink DVBS2 ModCOD'!H34,1),1))</f>
        <v>#NAME?</v>
      </c>
      <c r="F29" s="295"/>
      <c r="G29" s="465" t="e">
        <f ca="1">IF('3-Link Scenario Planner'!E41&lt;'10A-Uplink DVBS2 ModCOD'!H7,"Signal Strength Below MODEM Threshold", "Signal Strength Within MODEM Range")</f>
        <v>#NAME?</v>
      </c>
      <c r="H29" s="295"/>
      <c r="I29" s="295"/>
      <c r="J29" s="295"/>
      <c r="K29" s="387"/>
      <c r="L29" s="295"/>
      <c r="M29" s="295"/>
      <c r="N29" s="295"/>
      <c r="O29" s="295"/>
      <c r="P29" s="295"/>
      <c r="Q29" s="295"/>
      <c r="R29" s="295"/>
      <c r="S29" s="295"/>
      <c r="T29" s="295"/>
      <c r="U29" s="295"/>
      <c r="V29" s="295"/>
      <c r="W29" s="295"/>
      <c r="X29" s="295"/>
      <c r="Y29" s="295"/>
      <c r="Z29" s="295"/>
      <c r="AA29" s="295"/>
      <c r="AB29" s="295"/>
      <c r="AC29" s="285"/>
      <c r="AD29" s="285"/>
      <c r="AE29" s="285"/>
      <c r="AF29" s="285"/>
      <c r="AG29" s="285"/>
      <c r="AH29" s="285"/>
      <c r="AI29" s="285"/>
      <c r="AJ29" s="285"/>
      <c r="AK29" s="285"/>
      <c r="AL29" s="285"/>
      <c r="AM29" s="285"/>
      <c r="AN29" s="285"/>
      <c r="AO29" s="285"/>
      <c r="AP29" s="285"/>
      <c r="AQ29" s="285"/>
      <c r="AR29" s="285"/>
      <c r="AS29" s="285"/>
      <c r="AT29" s="285"/>
      <c r="AU29" s="285"/>
      <c r="AV29" s="285"/>
      <c r="AW29" s="285"/>
      <c r="AX29" s="285"/>
      <c r="AY29" s="285"/>
      <c r="AZ29" s="285"/>
      <c r="BA29" s="285"/>
      <c r="BB29" s="285"/>
      <c r="BC29" s="285"/>
      <c r="BD29" s="285"/>
      <c r="BE29" s="285"/>
      <c r="BF29" s="285"/>
      <c r="BG29" s="285"/>
      <c r="BH29" s="285"/>
      <c r="BI29" s="285"/>
      <c r="BJ29" s="285"/>
      <c r="BK29" s="285"/>
      <c r="BL29" s="285"/>
      <c r="BM29" s="285"/>
      <c r="BN29" s="285"/>
      <c r="BO29" s="285"/>
      <c r="BP29" s="285"/>
      <c r="BQ29" s="285"/>
      <c r="BR29" s="285"/>
      <c r="BS29" s="285"/>
      <c r="BT29" s="285"/>
      <c r="BU29" s="285"/>
      <c r="BV29" s="285"/>
      <c r="BW29" s="285"/>
      <c r="BX29" s="285"/>
      <c r="BY29" s="285"/>
      <c r="BZ29" s="285"/>
      <c r="CA29" s="285"/>
      <c r="CB29" s="285"/>
      <c r="CC29" s="285"/>
      <c r="CD29" s="285"/>
      <c r="CE29" s="285"/>
      <c r="CF29" s="285"/>
      <c r="CG29" s="285"/>
      <c r="CH29" s="285"/>
      <c r="CI29" s="285"/>
      <c r="CJ29" s="285"/>
      <c r="CK29" s="285"/>
      <c r="CL29" s="285"/>
      <c r="CM29" s="285"/>
      <c r="CN29" s="285"/>
      <c r="CO29" s="285"/>
      <c r="CP29" s="285"/>
      <c r="CQ29" s="285"/>
      <c r="CR29" s="285"/>
      <c r="CS29" s="285"/>
      <c r="CT29" s="285"/>
    </row>
    <row r="30" spans="1:98" s="286" customFormat="1" ht="17.25" customHeight="1">
      <c r="A30" s="295"/>
      <c r="B30" s="295"/>
      <c r="C30" s="386"/>
      <c r="D30" s="300"/>
      <c r="E30" s="295"/>
      <c r="F30" s="295"/>
      <c r="G30" s="295"/>
      <c r="H30" s="292" t="s">
        <v>3</v>
      </c>
      <c r="I30" s="295"/>
      <c r="J30" s="300" t="s">
        <v>429</v>
      </c>
      <c r="K30" s="387"/>
      <c r="L30" s="295"/>
      <c r="M30" s="295"/>
      <c r="N30" s="295"/>
      <c r="O30" s="295"/>
      <c r="P30" s="295"/>
      <c r="Q30" s="295"/>
      <c r="R30" s="295"/>
      <c r="S30" s="295"/>
      <c r="T30" s="295"/>
      <c r="U30" s="295"/>
      <c r="V30" s="295"/>
      <c r="W30" s="295"/>
      <c r="X30" s="295"/>
      <c r="Y30" s="295"/>
      <c r="Z30" s="295"/>
      <c r="AA30" s="295"/>
      <c r="AB30" s="295"/>
      <c r="AC30" s="285"/>
      <c r="AD30" s="285"/>
      <c r="AE30" s="285"/>
      <c r="AF30" s="285"/>
      <c r="AG30" s="285"/>
      <c r="AH30" s="285"/>
      <c r="AI30" s="285"/>
      <c r="AJ30" s="285"/>
      <c r="AK30" s="285"/>
      <c r="AL30" s="285"/>
      <c r="AM30" s="285"/>
      <c r="AN30" s="285"/>
      <c r="AO30" s="285"/>
      <c r="AP30" s="285"/>
      <c r="AQ30" s="285"/>
      <c r="AR30" s="285"/>
      <c r="AS30" s="285"/>
      <c r="AT30" s="285"/>
      <c r="AU30" s="285"/>
      <c r="AV30" s="285"/>
      <c r="AW30" s="285"/>
      <c r="AX30" s="285"/>
      <c r="AY30" s="285"/>
      <c r="AZ30" s="285"/>
      <c r="BA30" s="285"/>
      <c r="BB30" s="285"/>
      <c r="BC30" s="285"/>
      <c r="BD30" s="285"/>
      <c r="BE30" s="285"/>
      <c r="BF30" s="285"/>
      <c r="BG30" s="285"/>
      <c r="BH30" s="285"/>
      <c r="BI30" s="285"/>
      <c r="BJ30" s="285"/>
      <c r="BK30" s="285"/>
      <c r="BL30" s="285"/>
      <c r="BM30" s="285"/>
      <c r="BN30" s="285"/>
      <c r="BO30" s="285"/>
      <c r="BP30" s="285"/>
      <c r="BQ30" s="285"/>
      <c r="BR30" s="285"/>
      <c r="BS30" s="285"/>
      <c r="BT30" s="285"/>
      <c r="BU30" s="285"/>
      <c r="BV30" s="285"/>
      <c r="BW30" s="285"/>
      <c r="BX30" s="285"/>
      <c r="BY30" s="285"/>
      <c r="BZ30" s="285"/>
      <c r="CA30" s="285"/>
      <c r="CB30" s="285"/>
      <c r="CC30" s="285"/>
      <c r="CD30" s="285"/>
      <c r="CE30" s="285"/>
      <c r="CF30" s="285"/>
      <c r="CG30" s="285"/>
      <c r="CH30" s="285"/>
      <c r="CI30" s="285"/>
      <c r="CJ30" s="285"/>
      <c r="CK30" s="285"/>
      <c r="CL30" s="285"/>
      <c r="CM30" s="285"/>
      <c r="CN30" s="285"/>
      <c r="CO30" s="285"/>
      <c r="CP30" s="285"/>
      <c r="CQ30" s="285"/>
      <c r="CR30" s="285"/>
      <c r="CS30" s="285"/>
      <c r="CT30" s="285"/>
    </row>
    <row r="31" spans="1:98" s="286" customFormat="1" ht="17.25" customHeight="1">
      <c r="A31" s="590" t="s">
        <v>3</v>
      </c>
      <c r="B31" s="295"/>
      <c r="C31" s="386"/>
      <c r="D31" s="300" t="s">
        <v>333</v>
      </c>
      <c r="E31" s="488" t="e">
        <f ca="1">IF(E41&lt;'10A-Uplink DVBS2 ModCOD'!H7, "No Link",INDEX('10A-Uplink DVBS2 ModCOD'!D7:'10A-Uplink DVBS2 ModCOD'!D34,MATCH(E41,'10A-Uplink DVBS2 ModCOD'!H7:'10A-Uplink DVBS2 ModCOD'!H34,1),1))</f>
        <v>#NAME?</v>
      </c>
      <c r="F31" s="295"/>
      <c r="G31" s="295"/>
      <c r="H31" s="292"/>
      <c r="I31" s="295"/>
      <c r="J31" s="295"/>
      <c r="K31" s="387"/>
      <c r="L31" s="295"/>
      <c r="M31" s="295"/>
      <c r="N31" s="295"/>
      <c r="O31" s="295"/>
      <c r="P31" s="295"/>
      <c r="Q31" s="295"/>
      <c r="R31" s="295"/>
      <c r="S31" s="295"/>
      <c r="T31" s="295"/>
      <c r="U31" s="295"/>
      <c r="V31" s="295"/>
      <c r="W31" s="295"/>
      <c r="X31" s="295"/>
      <c r="Y31" s="295"/>
      <c r="Z31" s="295"/>
      <c r="AA31" s="295"/>
      <c r="AB31" s="295"/>
      <c r="AC31" s="285"/>
      <c r="AD31" s="285"/>
      <c r="AE31" s="285"/>
      <c r="AF31" s="285"/>
      <c r="AG31" s="285"/>
      <c r="AH31" s="285"/>
      <c r="AI31" s="285"/>
      <c r="AJ31" s="285"/>
      <c r="AK31" s="285"/>
      <c r="AL31" s="285"/>
      <c r="AM31" s="285"/>
      <c r="AN31" s="285"/>
      <c r="AO31" s="285"/>
      <c r="AP31" s="285"/>
      <c r="AQ31" s="285"/>
      <c r="AR31" s="285"/>
      <c r="AS31" s="285"/>
      <c r="AT31" s="285"/>
      <c r="AU31" s="285"/>
      <c r="AV31" s="285"/>
      <c r="AW31" s="285"/>
      <c r="AX31" s="285"/>
      <c r="AY31" s="285"/>
      <c r="AZ31" s="285"/>
      <c r="BA31" s="285"/>
      <c r="BB31" s="285"/>
      <c r="BC31" s="285"/>
      <c r="BD31" s="285"/>
      <c r="BE31" s="285"/>
      <c r="BF31" s="285"/>
      <c r="BG31" s="285"/>
      <c r="BH31" s="285"/>
      <c r="BI31" s="285"/>
      <c r="BJ31" s="285"/>
      <c r="BK31" s="285"/>
      <c r="BL31" s="285"/>
      <c r="BM31" s="285"/>
      <c r="BN31" s="285"/>
      <c r="BO31" s="285"/>
      <c r="BP31" s="285"/>
      <c r="BQ31" s="285"/>
      <c r="BR31" s="285"/>
      <c r="BS31" s="285"/>
      <c r="BT31" s="285"/>
      <c r="BU31" s="285"/>
      <c r="BV31" s="285"/>
      <c r="BW31" s="285"/>
      <c r="BX31" s="285"/>
      <c r="BY31" s="285"/>
      <c r="BZ31" s="285"/>
      <c r="CA31" s="285"/>
      <c r="CB31" s="285"/>
      <c r="CC31" s="285"/>
      <c r="CD31" s="285"/>
      <c r="CE31" s="285"/>
      <c r="CF31" s="285"/>
      <c r="CG31" s="285"/>
      <c r="CH31" s="285"/>
      <c r="CI31" s="285"/>
      <c r="CJ31" s="285"/>
      <c r="CK31" s="285"/>
      <c r="CL31" s="285"/>
      <c r="CM31" s="285"/>
      <c r="CN31" s="285"/>
      <c r="CO31" s="285"/>
      <c r="CP31" s="285"/>
      <c r="CQ31" s="285"/>
      <c r="CR31" s="285"/>
      <c r="CS31" s="285"/>
      <c r="CT31" s="285"/>
    </row>
    <row r="32" spans="1:98" s="286" customFormat="1" ht="17.25" customHeight="1">
      <c r="A32" s="295"/>
      <c r="B32" s="295"/>
      <c r="C32" s="386"/>
      <c r="D32" s="300"/>
      <c r="E32" s="295"/>
      <c r="F32" s="295"/>
      <c r="G32" s="295"/>
      <c r="H32" s="591" t="s">
        <v>568</v>
      </c>
      <c r="I32" s="295"/>
      <c r="J32" s="295"/>
      <c r="K32" s="387"/>
      <c r="L32" s="295"/>
      <c r="M32" s="295"/>
      <c r="N32" s="295"/>
      <c r="O32" s="295"/>
      <c r="P32" s="295"/>
      <c r="Q32" s="295"/>
      <c r="R32" s="295"/>
      <c r="S32" s="295"/>
      <c r="T32" s="295"/>
      <c r="U32" s="295"/>
      <c r="V32" s="295"/>
      <c r="W32" s="295"/>
      <c r="X32" s="295"/>
      <c r="Y32" s="295"/>
      <c r="Z32" s="295"/>
      <c r="AA32" s="295"/>
      <c r="AB32" s="295"/>
      <c r="AC32" s="285"/>
      <c r="AD32" s="285"/>
      <c r="AE32" s="285"/>
      <c r="AF32" s="285"/>
      <c r="AG32" s="285"/>
      <c r="AH32" s="285"/>
      <c r="AI32" s="285"/>
      <c r="AJ32" s="285"/>
      <c r="AK32" s="285"/>
      <c r="AL32" s="285"/>
      <c r="AM32" s="285"/>
      <c r="AN32" s="285"/>
      <c r="AO32" s="285"/>
      <c r="AP32" s="285"/>
      <c r="AQ32" s="285"/>
      <c r="AR32" s="285"/>
      <c r="AS32" s="285"/>
      <c r="AT32" s="285"/>
      <c r="AU32" s="285"/>
      <c r="AV32" s="285"/>
      <c r="AW32" s="285"/>
      <c r="AX32" s="285"/>
      <c r="AY32" s="285"/>
      <c r="AZ32" s="285"/>
      <c r="BA32" s="285"/>
      <c r="BB32" s="285"/>
      <c r="BC32" s="285"/>
      <c r="BD32" s="285"/>
      <c r="BE32" s="285"/>
      <c r="BF32" s="285"/>
      <c r="BG32" s="285"/>
      <c r="BH32" s="285"/>
      <c r="BI32" s="285"/>
      <c r="BJ32" s="285"/>
      <c r="BK32" s="285"/>
      <c r="BL32" s="285"/>
      <c r="BM32" s="285"/>
      <c r="BN32" s="285"/>
      <c r="BO32" s="285"/>
      <c r="BP32" s="285"/>
      <c r="BQ32" s="285"/>
      <c r="BR32" s="285"/>
      <c r="BS32" s="285"/>
      <c r="BT32" s="285"/>
      <c r="BU32" s="285"/>
      <c r="BV32" s="285"/>
      <c r="BW32" s="285"/>
      <c r="BX32" s="285"/>
      <c r="BY32" s="285"/>
      <c r="BZ32" s="285"/>
      <c r="CA32" s="285"/>
      <c r="CB32" s="285"/>
      <c r="CC32" s="285"/>
      <c r="CD32" s="285"/>
      <c r="CE32" s="285"/>
      <c r="CF32" s="285"/>
      <c r="CG32" s="285"/>
      <c r="CH32" s="285"/>
      <c r="CI32" s="285"/>
      <c r="CJ32" s="285"/>
      <c r="CK32" s="285"/>
      <c r="CL32" s="285"/>
      <c r="CM32" s="285"/>
      <c r="CN32" s="285"/>
      <c r="CO32" s="285"/>
      <c r="CP32" s="285"/>
      <c r="CQ32" s="285"/>
      <c r="CR32" s="285"/>
      <c r="CS32" s="285"/>
      <c r="CT32" s="285"/>
    </row>
    <row r="33" spans="1:98" s="286" customFormat="1" ht="17.25" customHeight="1">
      <c r="A33" s="295"/>
      <c r="B33" s="295"/>
      <c r="C33" s="386"/>
      <c r="D33" s="300" t="s">
        <v>334</v>
      </c>
      <c r="E33" s="583" t="e">
        <f ca="1">IF(E41&lt;'10A-Uplink DVBS2 ModCOD'!H7, "No Link",INDEX('10A-Uplink DVBS2 ModCOD'!L7:'10A-Uplink DVBS2 ModCOD'!L34,MATCH(E41,'10A-Uplink DVBS2 ModCOD'!H7:'10A-Uplink DVBS2 ModCOD'!H34,1),1))</f>
        <v>#NAME?</v>
      </c>
      <c r="F33" s="780" t="s">
        <v>708</v>
      </c>
      <c r="G33" s="580" t="s">
        <v>553</v>
      </c>
      <c r="H33" s="340">
        <f>'4A-Orbit'!G26</f>
        <v>20</v>
      </c>
      <c r="I33" s="295"/>
      <c r="J33" s="295"/>
      <c r="K33" s="387"/>
      <c r="L33" s="295"/>
      <c r="M33" s="295"/>
      <c r="N33" s="295"/>
      <c r="O33" s="295"/>
      <c r="P33" s="295"/>
      <c r="Q33" s="295"/>
      <c r="R33" s="295"/>
      <c r="S33" s="295"/>
      <c r="T33" s="295"/>
      <c r="U33" s="295"/>
      <c r="V33" s="295"/>
      <c r="W33" s="295"/>
      <c r="X33" s="295"/>
      <c r="Y33" s="295"/>
      <c r="Z33" s="295"/>
      <c r="AA33" s="295"/>
      <c r="AB33" s="295"/>
      <c r="AC33" s="285"/>
      <c r="AD33" s="285"/>
      <c r="AE33" s="285"/>
      <c r="AF33" s="285"/>
      <c r="AG33" s="285"/>
      <c r="AH33" s="285"/>
      <c r="AI33" s="285"/>
      <c r="AJ33" s="285"/>
      <c r="AK33" s="285"/>
      <c r="AL33" s="285"/>
      <c r="AM33" s="285"/>
      <c r="AN33" s="285"/>
      <c r="AO33" s="285"/>
      <c r="AP33" s="285"/>
      <c r="AQ33" s="285"/>
      <c r="AR33" s="285"/>
      <c r="AS33" s="285"/>
      <c r="AT33" s="285"/>
      <c r="AU33" s="285"/>
      <c r="AV33" s="285"/>
      <c r="AW33" s="285"/>
      <c r="AX33" s="285"/>
      <c r="AY33" s="285"/>
      <c r="AZ33" s="285"/>
      <c r="BA33" s="285"/>
      <c r="BB33" s="285"/>
      <c r="BC33" s="285"/>
      <c r="BD33" s="285"/>
      <c r="BE33" s="285"/>
      <c r="BF33" s="285"/>
      <c r="BG33" s="285"/>
      <c r="BH33" s="285"/>
      <c r="BI33" s="285"/>
      <c r="BJ33" s="285"/>
      <c r="BK33" s="285"/>
      <c r="BL33" s="285"/>
      <c r="BM33" s="285"/>
      <c r="BN33" s="285"/>
      <c r="BO33" s="285"/>
      <c r="BP33" s="285"/>
      <c r="BQ33" s="285"/>
      <c r="BR33" s="285"/>
      <c r="BS33" s="285"/>
      <c r="BT33" s="285"/>
      <c r="BU33" s="285"/>
      <c r="BV33" s="285"/>
      <c r="BW33" s="285"/>
      <c r="BX33" s="285"/>
      <c r="BY33" s="285"/>
      <c r="BZ33" s="285"/>
      <c r="CA33" s="285"/>
      <c r="CB33" s="285"/>
      <c r="CC33" s="285"/>
      <c r="CD33" s="285"/>
      <c r="CE33" s="285"/>
      <c r="CF33" s="285"/>
      <c r="CG33" s="285"/>
      <c r="CH33" s="285"/>
      <c r="CI33" s="285"/>
      <c r="CJ33" s="285"/>
      <c r="CK33" s="285"/>
      <c r="CL33" s="285"/>
      <c r="CM33" s="285"/>
      <c r="CN33" s="285"/>
      <c r="CO33" s="285"/>
      <c r="CP33" s="285"/>
      <c r="CQ33" s="285"/>
      <c r="CR33" s="285"/>
      <c r="CS33" s="285"/>
      <c r="CT33" s="285"/>
    </row>
    <row r="34" spans="1:98" s="286" customFormat="1" ht="17.25" customHeight="1">
      <c r="A34" s="295"/>
      <c r="B34" s="295"/>
      <c r="C34" s="386"/>
      <c r="D34" s="297"/>
      <c r="E34" s="295"/>
      <c r="F34" s="579"/>
      <c r="G34" s="295"/>
      <c r="H34" s="292"/>
      <c r="I34" s="295"/>
      <c r="J34" s="295"/>
      <c r="K34" s="387"/>
      <c r="L34" s="295"/>
      <c r="M34" s="295"/>
      <c r="N34" s="295"/>
      <c r="O34" s="295"/>
      <c r="P34" s="295"/>
      <c r="Q34" s="295"/>
      <c r="R34" s="295"/>
      <c r="S34" s="295"/>
      <c r="T34" s="295"/>
      <c r="U34" s="295"/>
      <c r="V34" s="295"/>
      <c r="W34" s="295"/>
      <c r="X34" s="295"/>
      <c r="Y34" s="295"/>
      <c r="Z34" s="295"/>
      <c r="AA34" s="295"/>
      <c r="AB34" s="295"/>
      <c r="AC34" s="285"/>
      <c r="AD34" s="285"/>
      <c r="AE34" s="285"/>
      <c r="AF34" s="285"/>
      <c r="AG34" s="285"/>
      <c r="AH34" s="285"/>
      <c r="AI34" s="285"/>
      <c r="AJ34" s="285"/>
      <c r="AK34" s="285"/>
      <c r="AL34" s="285"/>
      <c r="AM34" s="285"/>
      <c r="AN34" s="285"/>
      <c r="AO34" s="285"/>
      <c r="AP34" s="285"/>
      <c r="AQ34" s="285"/>
      <c r="AR34" s="285"/>
      <c r="AS34" s="285"/>
      <c r="AT34" s="285"/>
      <c r="AU34" s="285"/>
      <c r="AV34" s="285"/>
      <c r="AW34" s="285"/>
      <c r="AX34" s="285"/>
      <c r="AY34" s="285"/>
      <c r="AZ34" s="285"/>
      <c r="BA34" s="285"/>
      <c r="BB34" s="285"/>
      <c r="BC34" s="285"/>
      <c r="BD34" s="285"/>
      <c r="BE34" s="285"/>
      <c r="BF34" s="285"/>
      <c r="BG34" s="285"/>
      <c r="BH34" s="285"/>
      <c r="BI34" s="285"/>
      <c r="BJ34" s="285"/>
      <c r="BK34" s="285"/>
      <c r="BL34" s="285"/>
      <c r="BM34" s="285"/>
      <c r="BN34" s="285"/>
      <c r="BO34" s="285"/>
      <c r="BP34" s="285"/>
      <c r="BQ34" s="285"/>
      <c r="BR34" s="285"/>
      <c r="BS34" s="285"/>
      <c r="BT34" s="285"/>
      <c r="BU34" s="285"/>
      <c r="BV34" s="285"/>
      <c r="BW34" s="285"/>
      <c r="BX34" s="285"/>
      <c r="BY34" s="285"/>
      <c r="BZ34" s="285"/>
      <c r="CA34" s="285"/>
      <c r="CB34" s="285"/>
      <c r="CC34" s="285"/>
      <c r="CD34" s="285"/>
      <c r="CE34" s="285"/>
      <c r="CF34" s="285"/>
      <c r="CG34" s="285"/>
      <c r="CH34" s="285"/>
      <c r="CI34" s="285"/>
      <c r="CJ34" s="285"/>
      <c r="CK34" s="285"/>
      <c r="CL34" s="285"/>
      <c r="CM34" s="285"/>
      <c r="CN34" s="285"/>
      <c r="CO34" s="285"/>
      <c r="CP34" s="285"/>
      <c r="CQ34" s="285"/>
      <c r="CR34" s="285"/>
      <c r="CS34" s="285"/>
      <c r="CT34" s="285"/>
    </row>
    <row r="35" spans="1:98" s="286" customFormat="1" ht="17.25" customHeight="1">
      <c r="A35" s="295"/>
      <c r="B35" s="295"/>
      <c r="C35" s="386"/>
      <c r="D35" s="300" t="s">
        <v>335</v>
      </c>
      <c r="E35" s="572" t="e">
        <f ca="1">'11A-ITU P618-6 Uplink'!D20</f>
        <v>#NAME?</v>
      </c>
      <c r="F35" s="573" t="s">
        <v>554</v>
      </c>
      <c r="G35" s="295"/>
      <c r="H35" s="292"/>
      <c r="I35" s="295"/>
      <c r="J35" s="295"/>
      <c r="K35" s="387"/>
      <c r="L35" s="295"/>
      <c r="M35" s="295"/>
      <c r="N35" s="295"/>
      <c r="O35" s="295"/>
      <c r="P35" s="295"/>
      <c r="Q35" s="295"/>
      <c r="R35" s="295"/>
      <c r="S35" s="295"/>
      <c r="T35" s="295"/>
      <c r="U35" s="295"/>
      <c r="V35" s="295"/>
      <c r="W35" s="295"/>
      <c r="X35" s="295"/>
      <c r="Y35" s="295"/>
      <c r="Z35" s="295"/>
      <c r="AA35" s="295"/>
      <c r="AB35" s="295"/>
      <c r="AC35" s="285"/>
      <c r="AD35" s="285"/>
      <c r="AE35" s="285"/>
      <c r="AF35" s="285"/>
      <c r="AG35" s="285"/>
      <c r="AH35" s="285"/>
      <c r="AI35" s="285"/>
      <c r="AJ35" s="285"/>
      <c r="AK35" s="285"/>
      <c r="AL35" s="285"/>
      <c r="AM35" s="285"/>
      <c r="AN35" s="285"/>
      <c r="AO35" s="285"/>
      <c r="AP35" s="285"/>
      <c r="AQ35" s="285"/>
      <c r="AR35" s="285"/>
      <c r="AS35" s="285"/>
      <c r="AT35" s="285"/>
      <c r="AU35" s="285"/>
      <c r="AV35" s="285"/>
      <c r="AW35" s="285"/>
      <c r="AX35" s="285"/>
      <c r="AY35" s="285"/>
      <c r="AZ35" s="285"/>
      <c r="BA35" s="285"/>
      <c r="BB35" s="285"/>
      <c r="BC35" s="285"/>
      <c r="BD35" s="285"/>
      <c r="BE35" s="285"/>
      <c r="BF35" s="285"/>
      <c r="BG35" s="285"/>
      <c r="BH35" s="285"/>
      <c r="BI35" s="285"/>
      <c r="BJ35" s="285"/>
      <c r="BK35" s="285"/>
      <c r="BL35" s="285"/>
      <c r="BM35" s="285"/>
      <c r="BN35" s="285"/>
      <c r="BO35" s="285"/>
      <c r="BP35" s="285"/>
      <c r="BQ35" s="285"/>
      <c r="BR35" s="285"/>
      <c r="BS35" s="285"/>
      <c r="BT35" s="285"/>
      <c r="BU35" s="285"/>
      <c r="BV35" s="285"/>
      <c r="BW35" s="285"/>
      <c r="BX35" s="285"/>
      <c r="BY35" s="285"/>
      <c r="BZ35" s="285"/>
      <c r="CA35" s="285"/>
      <c r="CB35" s="285"/>
      <c r="CC35" s="285"/>
      <c r="CD35" s="285"/>
      <c r="CE35" s="285"/>
      <c r="CF35" s="285"/>
      <c r="CG35" s="285"/>
      <c r="CH35" s="285"/>
      <c r="CI35" s="285"/>
      <c r="CJ35" s="285"/>
      <c r="CK35" s="285"/>
      <c r="CL35" s="285"/>
      <c r="CM35" s="285"/>
      <c r="CN35" s="285"/>
      <c r="CO35" s="285"/>
      <c r="CP35" s="285"/>
      <c r="CQ35" s="285"/>
      <c r="CR35" s="285"/>
      <c r="CS35" s="285"/>
      <c r="CT35" s="285"/>
    </row>
    <row r="36" spans="1:98" s="286" customFormat="1" ht="17.25" customHeight="1">
      <c r="A36" s="295"/>
      <c r="B36" s="295"/>
      <c r="C36" s="386"/>
      <c r="D36" s="300"/>
      <c r="E36" s="292" t="s">
        <v>3</v>
      </c>
      <c r="F36" s="295"/>
      <c r="G36" s="295"/>
      <c r="H36" s="300" t="s">
        <v>339</v>
      </c>
      <c r="I36" s="295"/>
      <c r="J36" s="295"/>
      <c r="K36" s="387"/>
      <c r="L36" s="295"/>
      <c r="M36" s="295"/>
      <c r="N36" s="295"/>
      <c r="O36" s="295"/>
      <c r="P36" s="295"/>
      <c r="Q36" s="295"/>
      <c r="R36" s="295"/>
      <c r="S36" s="295"/>
      <c r="T36" s="295"/>
      <c r="U36" s="295"/>
      <c r="V36" s="295"/>
      <c r="W36" s="295"/>
      <c r="X36" s="295"/>
      <c r="Y36" s="295"/>
      <c r="Z36" s="295"/>
      <c r="AA36" s="295"/>
      <c r="AB36" s="295"/>
      <c r="AC36" s="285"/>
      <c r="AD36" s="285"/>
      <c r="AE36" s="285"/>
      <c r="AF36" s="285"/>
      <c r="AG36" s="285"/>
      <c r="AH36" s="285"/>
      <c r="AI36" s="285"/>
      <c r="AJ36" s="285"/>
      <c r="AK36" s="285"/>
      <c r="AL36" s="285"/>
      <c r="AM36" s="285"/>
      <c r="AN36" s="285"/>
      <c r="AO36" s="285"/>
      <c r="AP36" s="285"/>
      <c r="AQ36" s="285"/>
      <c r="AR36" s="285"/>
      <c r="AS36" s="285"/>
      <c r="AT36" s="285"/>
      <c r="AU36" s="285"/>
      <c r="AV36" s="285"/>
      <c r="AW36" s="285"/>
      <c r="AX36" s="285"/>
      <c r="AY36" s="285"/>
      <c r="AZ36" s="285"/>
      <c r="BA36" s="285"/>
      <c r="BB36" s="285"/>
      <c r="BC36" s="285"/>
      <c r="BD36" s="285"/>
      <c r="BE36" s="285"/>
      <c r="BF36" s="285"/>
      <c r="BG36" s="285"/>
      <c r="BH36" s="285"/>
      <c r="BI36" s="285"/>
      <c r="BJ36" s="285"/>
      <c r="BK36" s="285"/>
      <c r="BL36" s="285"/>
      <c r="BM36" s="285"/>
      <c r="BN36" s="285"/>
      <c r="BO36" s="285"/>
      <c r="BP36" s="285"/>
      <c r="BQ36" s="285"/>
      <c r="BR36" s="285"/>
      <c r="BS36" s="285"/>
      <c r="BT36" s="285"/>
      <c r="BU36" s="285"/>
      <c r="BV36" s="285"/>
      <c r="BW36" s="285"/>
      <c r="BX36" s="285"/>
      <c r="BY36" s="285"/>
      <c r="BZ36" s="285"/>
      <c r="CA36" s="285"/>
      <c r="CB36" s="285"/>
      <c r="CC36" s="285"/>
      <c r="CD36" s="285"/>
      <c r="CE36" s="285"/>
      <c r="CF36" s="285"/>
      <c r="CG36" s="285"/>
      <c r="CH36" s="285"/>
      <c r="CI36" s="285"/>
      <c r="CJ36" s="285"/>
      <c r="CK36" s="285"/>
      <c r="CL36" s="285"/>
      <c r="CM36" s="285"/>
      <c r="CN36" s="285"/>
      <c r="CO36" s="285"/>
      <c r="CP36" s="285"/>
      <c r="CQ36" s="285"/>
      <c r="CR36" s="285"/>
      <c r="CS36" s="285"/>
      <c r="CT36" s="285"/>
    </row>
    <row r="37" spans="1:98" s="286" customFormat="1" ht="17.25" customHeight="1">
      <c r="A37" s="295"/>
      <c r="B37" s="295"/>
      <c r="C37" s="386"/>
      <c r="D37" s="585" t="s">
        <v>556</v>
      </c>
      <c r="E37" s="572" t="e">
        <f ca="1">'11A-ITU P618-6 Uplink'!D35</f>
        <v>#NAME?</v>
      </c>
      <c r="F37" s="573" t="s">
        <v>31</v>
      </c>
      <c r="G37" s="295"/>
      <c r="H37" s="589">
        <f>E15</f>
        <v>99.5</v>
      </c>
      <c r="I37" s="588" t="s">
        <v>567</v>
      </c>
      <c r="J37" s="297"/>
      <c r="K37" s="387"/>
      <c r="L37" s="295"/>
      <c r="M37" s="295"/>
      <c r="N37" s="295"/>
      <c r="O37" s="295"/>
      <c r="P37" s="295"/>
      <c r="Q37" s="295"/>
      <c r="R37" s="295"/>
      <c r="S37" s="295"/>
      <c r="T37" s="295"/>
      <c r="U37" s="295"/>
      <c r="V37" s="295"/>
      <c r="W37" s="295"/>
      <c r="X37" s="295"/>
      <c r="Y37" s="295"/>
      <c r="Z37" s="295"/>
      <c r="AA37" s="295"/>
      <c r="AB37" s="295"/>
      <c r="AC37" s="285"/>
      <c r="AD37" s="285"/>
      <c r="AE37" s="285"/>
      <c r="AF37" s="285"/>
      <c r="AG37" s="285"/>
      <c r="AH37" s="285"/>
      <c r="AI37" s="285"/>
      <c r="AJ37" s="285"/>
      <c r="AK37" s="285"/>
      <c r="AL37" s="285"/>
      <c r="AM37" s="285"/>
      <c r="AN37" s="285"/>
      <c r="AO37" s="285"/>
      <c r="AP37" s="285"/>
      <c r="AQ37" s="285"/>
      <c r="AR37" s="285"/>
      <c r="AS37" s="285"/>
      <c r="AT37" s="285"/>
      <c r="AU37" s="285"/>
      <c r="AV37" s="285"/>
      <c r="AW37" s="285"/>
      <c r="AX37" s="285"/>
      <c r="AY37" s="285"/>
      <c r="AZ37" s="285"/>
      <c r="BA37" s="285"/>
      <c r="BB37" s="285"/>
      <c r="BC37" s="285"/>
      <c r="BD37" s="285"/>
      <c r="BE37" s="285"/>
      <c r="BF37" s="285"/>
      <c r="BG37" s="285"/>
      <c r="BH37" s="285"/>
      <c r="BI37" s="285"/>
      <c r="BJ37" s="285"/>
      <c r="BK37" s="285"/>
      <c r="BL37" s="285"/>
      <c r="BM37" s="285"/>
      <c r="BN37" s="285"/>
      <c r="BO37" s="285"/>
      <c r="BP37" s="285"/>
      <c r="BQ37" s="285"/>
      <c r="BR37" s="285"/>
      <c r="BS37" s="285"/>
      <c r="BT37" s="285"/>
      <c r="BU37" s="285"/>
      <c r="BV37" s="285"/>
      <c r="BW37" s="285"/>
      <c r="BX37" s="285"/>
      <c r="BY37" s="285"/>
      <c r="BZ37" s="285"/>
      <c r="CA37" s="285"/>
      <c r="CB37" s="285"/>
      <c r="CC37" s="285"/>
      <c r="CD37" s="285"/>
      <c r="CE37" s="285"/>
      <c r="CF37" s="285"/>
      <c r="CG37" s="285"/>
      <c r="CH37" s="285"/>
      <c r="CI37" s="285"/>
      <c r="CJ37" s="285"/>
      <c r="CK37" s="285"/>
      <c r="CL37" s="285"/>
      <c r="CM37" s="285"/>
      <c r="CN37" s="285"/>
      <c r="CO37" s="285"/>
      <c r="CP37" s="285"/>
      <c r="CQ37" s="285"/>
      <c r="CR37" s="285"/>
      <c r="CS37" s="285"/>
      <c r="CT37" s="285"/>
    </row>
    <row r="38" spans="1:98" s="286" customFormat="1" ht="17.25" customHeight="1">
      <c r="A38" s="295"/>
      <c r="B38" s="295"/>
      <c r="C38" s="386"/>
      <c r="D38" s="300"/>
      <c r="E38" s="295"/>
      <c r="F38" s="295"/>
      <c r="G38" s="295"/>
      <c r="H38" s="292"/>
      <c r="I38" s="295"/>
      <c r="J38" s="295"/>
      <c r="K38" s="387"/>
      <c r="L38" s="295"/>
      <c r="M38" s="295"/>
      <c r="N38" s="295"/>
      <c r="O38" s="295"/>
      <c r="P38" s="295"/>
      <c r="Q38" s="295"/>
      <c r="R38" s="295"/>
      <c r="S38" s="295"/>
      <c r="T38" s="295"/>
      <c r="U38" s="295"/>
      <c r="V38" s="295"/>
      <c r="W38" s="295"/>
      <c r="X38" s="295"/>
      <c r="Y38" s="295"/>
      <c r="Z38" s="295"/>
      <c r="AA38" s="295"/>
      <c r="AB38" s="295"/>
      <c r="AC38" s="285"/>
      <c r="AD38" s="285"/>
      <c r="AE38" s="285"/>
      <c r="AF38" s="285"/>
      <c r="AG38" s="285"/>
      <c r="AH38" s="285"/>
      <c r="AI38" s="285"/>
      <c r="AJ38" s="285"/>
      <c r="AK38" s="285"/>
      <c r="AL38" s="285"/>
      <c r="AM38" s="285"/>
      <c r="AN38" s="285"/>
      <c r="AO38" s="285"/>
      <c r="AP38" s="285"/>
      <c r="AQ38" s="285"/>
      <c r="AR38" s="285"/>
      <c r="AS38" s="285"/>
      <c r="AT38" s="285"/>
      <c r="AU38" s="285"/>
      <c r="AV38" s="285"/>
      <c r="AW38" s="285"/>
      <c r="AX38" s="285"/>
      <c r="AY38" s="285"/>
      <c r="AZ38" s="285"/>
      <c r="BA38" s="285"/>
      <c r="BB38" s="285"/>
      <c r="BC38" s="285"/>
      <c r="BD38" s="285"/>
      <c r="BE38" s="285"/>
      <c r="BF38" s="285"/>
      <c r="BG38" s="285"/>
      <c r="BH38" s="285"/>
      <c r="BI38" s="285"/>
      <c r="BJ38" s="285"/>
      <c r="BK38" s="285"/>
      <c r="BL38" s="285"/>
      <c r="BM38" s="285"/>
      <c r="BN38" s="285"/>
      <c r="BO38" s="285"/>
      <c r="BP38" s="285"/>
      <c r="BQ38" s="285"/>
      <c r="BR38" s="285"/>
      <c r="BS38" s="285"/>
      <c r="BT38" s="285"/>
      <c r="BU38" s="285"/>
      <c r="BV38" s="285"/>
      <c r="BW38" s="285"/>
      <c r="BX38" s="285"/>
      <c r="BY38" s="285"/>
      <c r="BZ38" s="285"/>
      <c r="CA38" s="285"/>
      <c r="CB38" s="285"/>
      <c r="CC38" s="285"/>
      <c r="CD38" s="285"/>
      <c r="CE38" s="285"/>
      <c r="CF38" s="285"/>
      <c r="CG38" s="285"/>
      <c r="CH38" s="285"/>
      <c r="CI38" s="285"/>
      <c r="CJ38" s="285"/>
      <c r="CK38" s="285"/>
      <c r="CL38" s="285"/>
      <c r="CM38" s="285"/>
      <c r="CN38" s="285"/>
      <c r="CO38" s="285"/>
      <c r="CP38" s="285"/>
      <c r="CQ38" s="285"/>
      <c r="CR38" s="285"/>
      <c r="CS38" s="285"/>
      <c r="CT38" s="285"/>
    </row>
    <row r="39" spans="1:98" s="286" customFormat="1" ht="17.25" customHeight="1">
      <c r="A39" s="295"/>
      <c r="B39" s="295"/>
      <c r="C39" s="386"/>
      <c r="D39" s="300" t="s">
        <v>456</v>
      </c>
      <c r="E39" s="581" t="e">
        <f ca="1">IF(E41&lt;'10A-Uplink DVBS2 ModCOD'!H7, "No Link",INDEX('10A-Uplink DVBS2 ModCOD'!J7:'10A-Uplink DVBS2 ModCOD'!J34,MATCH(E41,'10A-Uplink DVBS2 ModCOD'!H7:'10A-Uplink DVBS2 ModCOD'!H34,1),1))</f>
        <v>#NAME?</v>
      </c>
      <c r="F39" s="486" t="s">
        <v>486</v>
      </c>
      <c r="G39" s="295"/>
      <c r="H39" s="292"/>
      <c r="I39" s="295"/>
      <c r="J39" s="295"/>
      <c r="K39" s="387"/>
      <c r="L39" s="292" t="s">
        <v>3</v>
      </c>
      <c r="M39" s="295"/>
      <c r="N39" s="295"/>
      <c r="O39" s="295"/>
      <c r="P39" s="295"/>
      <c r="Q39" s="295"/>
      <c r="R39" s="295"/>
      <c r="S39" s="295"/>
      <c r="T39" s="295"/>
      <c r="U39" s="295"/>
      <c r="V39" s="295"/>
      <c r="W39" s="295"/>
      <c r="X39" s="295"/>
      <c r="Y39" s="295"/>
      <c r="Z39" s="295"/>
      <c r="AA39" s="295"/>
      <c r="AB39" s="295"/>
      <c r="AC39" s="285"/>
      <c r="AD39" s="285"/>
      <c r="AE39" s="285"/>
      <c r="AF39" s="285"/>
      <c r="AG39" s="285"/>
      <c r="AH39" s="285"/>
      <c r="AI39" s="285"/>
      <c r="AJ39" s="285"/>
      <c r="AK39" s="285"/>
      <c r="AL39" s="285"/>
      <c r="AM39" s="285"/>
      <c r="AN39" s="285"/>
      <c r="AO39" s="285"/>
      <c r="AP39" s="285"/>
      <c r="AQ39" s="285"/>
      <c r="AR39" s="285"/>
      <c r="AS39" s="285"/>
      <c r="AT39" s="285"/>
      <c r="AU39" s="285"/>
      <c r="AV39" s="285"/>
      <c r="AW39" s="285"/>
      <c r="AX39" s="285"/>
      <c r="AY39" s="285"/>
      <c r="AZ39" s="285"/>
      <c r="BA39" s="285"/>
      <c r="BB39" s="285"/>
      <c r="BC39" s="285"/>
      <c r="BD39" s="285"/>
      <c r="BE39" s="285"/>
      <c r="BF39" s="285"/>
      <c r="BG39" s="285"/>
      <c r="BH39" s="285"/>
      <c r="BI39" s="285"/>
      <c r="BJ39" s="285"/>
      <c r="BK39" s="285"/>
      <c r="BL39" s="285"/>
      <c r="BM39" s="285"/>
      <c r="BN39" s="285"/>
      <c r="BO39" s="285"/>
      <c r="BP39" s="285"/>
      <c r="BQ39" s="285"/>
      <c r="BR39" s="285"/>
      <c r="BS39" s="285"/>
      <c r="BT39" s="285"/>
      <c r="BU39" s="285"/>
      <c r="BV39" s="285"/>
      <c r="BW39" s="285"/>
      <c r="BX39" s="285"/>
      <c r="BY39" s="285"/>
      <c r="BZ39" s="285"/>
      <c r="CA39" s="285"/>
      <c r="CB39" s="285"/>
      <c r="CC39" s="285"/>
      <c r="CD39" s="285"/>
      <c r="CE39" s="285"/>
      <c r="CF39" s="285"/>
      <c r="CG39" s="285"/>
      <c r="CH39" s="285"/>
      <c r="CI39" s="285"/>
      <c r="CJ39" s="285"/>
      <c r="CK39" s="285"/>
      <c r="CL39" s="285"/>
      <c r="CM39" s="285"/>
      <c r="CN39" s="285"/>
      <c r="CO39" s="285"/>
      <c r="CP39" s="285"/>
      <c r="CQ39" s="285"/>
      <c r="CR39" s="285"/>
      <c r="CS39" s="285"/>
      <c r="CT39" s="285"/>
    </row>
    <row r="40" spans="1:98" s="286" customFormat="1" ht="17.25" customHeight="1">
      <c r="A40" s="295"/>
      <c r="B40" s="295"/>
      <c r="C40" s="386"/>
      <c r="D40" s="300"/>
      <c r="E40" s="295"/>
      <c r="F40" s="295"/>
      <c r="G40" s="295"/>
      <c r="H40" s="292"/>
      <c r="I40" s="292" t="s">
        <v>3</v>
      </c>
      <c r="J40" s="295"/>
      <c r="K40" s="387"/>
      <c r="L40" s="295"/>
      <c r="M40" s="295"/>
      <c r="N40" s="295"/>
      <c r="O40" s="295"/>
      <c r="P40" s="295"/>
      <c r="Q40" s="295"/>
      <c r="R40" s="295"/>
      <c r="S40" s="295"/>
      <c r="T40" s="295"/>
      <c r="U40" s="295"/>
      <c r="V40" s="295"/>
      <c r="W40" s="295"/>
      <c r="X40" s="295"/>
      <c r="Y40" s="295"/>
      <c r="Z40" s="295"/>
      <c r="AA40" s="295"/>
      <c r="AB40" s="295"/>
      <c r="AC40" s="285"/>
      <c r="AD40" s="285"/>
      <c r="AE40" s="285"/>
      <c r="AF40" s="285"/>
      <c r="AG40" s="285"/>
      <c r="AH40" s="285"/>
      <c r="AI40" s="285"/>
      <c r="AJ40" s="285"/>
      <c r="AK40" s="285"/>
      <c r="AL40" s="285"/>
      <c r="AM40" s="285"/>
      <c r="AN40" s="285"/>
      <c r="AO40" s="285"/>
      <c r="AP40" s="285"/>
      <c r="AQ40" s="285"/>
      <c r="AR40" s="285"/>
      <c r="AS40" s="285"/>
      <c r="AT40" s="285"/>
      <c r="AU40" s="285"/>
      <c r="AV40" s="285"/>
      <c r="AW40" s="285"/>
      <c r="AX40" s="285"/>
      <c r="AY40" s="285"/>
      <c r="AZ40" s="285"/>
      <c r="BA40" s="285"/>
      <c r="BB40" s="285"/>
      <c r="BC40" s="285"/>
      <c r="BD40" s="285"/>
      <c r="BE40" s="285"/>
      <c r="BF40" s="285"/>
      <c r="BG40" s="285"/>
      <c r="BH40" s="285"/>
      <c r="BI40" s="285"/>
      <c r="BJ40" s="285"/>
      <c r="BK40" s="285"/>
      <c r="BL40" s="285"/>
      <c r="BM40" s="285"/>
      <c r="BN40" s="285"/>
      <c r="BO40" s="285"/>
      <c r="BP40" s="285"/>
      <c r="BQ40" s="285"/>
      <c r="BR40" s="285"/>
      <c r="BS40" s="285"/>
      <c r="BT40" s="285"/>
      <c r="BU40" s="285"/>
      <c r="BV40" s="285"/>
      <c r="BW40" s="285"/>
      <c r="BX40" s="285"/>
      <c r="BY40" s="285"/>
      <c r="BZ40" s="285"/>
      <c r="CA40" s="285"/>
      <c r="CB40" s="285"/>
      <c r="CC40" s="285"/>
      <c r="CD40" s="285"/>
      <c r="CE40" s="285"/>
      <c r="CF40" s="285"/>
      <c r="CG40" s="285"/>
      <c r="CH40" s="285"/>
      <c r="CI40" s="285"/>
      <c r="CJ40" s="285"/>
      <c r="CK40" s="285"/>
      <c r="CL40" s="285"/>
      <c r="CM40" s="285"/>
      <c r="CN40" s="285"/>
      <c r="CO40" s="285"/>
      <c r="CP40" s="285"/>
      <c r="CQ40" s="285"/>
      <c r="CR40" s="285"/>
      <c r="CS40" s="285"/>
      <c r="CT40" s="285"/>
    </row>
    <row r="41" spans="1:98" s="285" customFormat="1" ht="20" customHeight="1">
      <c r="A41" s="295"/>
      <c r="B41" s="295"/>
      <c r="C41" s="388"/>
      <c r="D41" s="300" t="s">
        <v>552</v>
      </c>
      <c r="E41" s="582" t="e">
        <f ca="1">IF(H15="Yes",'8-Uplink Budget'!C55,'8-Uplink Budget'!C54)</f>
        <v>#NAME?</v>
      </c>
      <c r="F41" s="338" t="s">
        <v>57</v>
      </c>
      <c r="G41" s="297"/>
      <c r="H41" s="574" t="e">
        <f ca="1">E41-'10A-Uplink DVBS2 ModCOD'!H7</f>
        <v>#NAME?</v>
      </c>
      <c r="I41" s="575" t="s">
        <v>433</v>
      </c>
      <c r="J41" s="297"/>
      <c r="K41" s="389"/>
      <c r="L41" s="295"/>
      <c r="M41" s="295"/>
      <c r="N41" s="295"/>
      <c r="O41" s="295"/>
      <c r="P41" s="295"/>
      <c r="Q41" s="295"/>
      <c r="R41" s="295"/>
      <c r="S41" s="295"/>
      <c r="T41" s="295"/>
      <c r="U41" s="295"/>
      <c r="V41" s="295"/>
      <c r="W41" s="295"/>
      <c r="X41" s="295"/>
      <c r="Y41" s="295"/>
      <c r="Z41" s="295"/>
      <c r="AA41" s="295"/>
      <c r="AB41" s="295"/>
    </row>
    <row r="42" spans="1:98" s="285" customFormat="1" ht="20" customHeight="1">
      <c r="A42" s="295"/>
      <c r="B42" s="295"/>
      <c r="C42" s="388"/>
      <c r="D42" s="300"/>
      <c r="E42" s="965" t="str">
        <f>IF(H15="Yes","Faded (with Rain &amp; Clouds)","Clear Sky (Atmosphere + Scintillation Only)")</f>
        <v>Clear Sky (Atmosphere + Scintillation Only)</v>
      </c>
      <c r="F42" s="966"/>
      <c r="G42" s="297"/>
      <c r="H42" s="297"/>
      <c r="I42" s="297" t="s">
        <v>3</v>
      </c>
      <c r="J42" s="297"/>
      <c r="K42" s="389"/>
      <c r="L42" s="295"/>
      <c r="M42" s="295"/>
      <c r="N42" s="295"/>
      <c r="O42" s="295"/>
      <c r="P42" s="295"/>
      <c r="Q42" s="295"/>
      <c r="R42" s="295"/>
      <c r="S42" s="295"/>
      <c r="T42" s="295"/>
      <c r="U42" s="295"/>
      <c r="V42" s="295"/>
      <c r="W42" s="295"/>
      <c r="X42" s="295"/>
      <c r="Y42" s="295"/>
      <c r="Z42" s="295"/>
      <c r="AA42" s="295"/>
      <c r="AB42" s="295"/>
    </row>
    <row r="43" spans="1:98" s="285" customFormat="1" ht="20" customHeight="1">
      <c r="A43" s="295"/>
      <c r="B43" s="295"/>
      <c r="C43" s="388"/>
      <c r="D43" s="300"/>
      <c r="E43" s="377"/>
      <c r="F43" s="380"/>
      <c r="G43" s="297"/>
      <c r="H43" s="390" t="s">
        <v>3</v>
      </c>
      <c r="I43" s="297"/>
      <c r="J43" s="297"/>
      <c r="K43" s="389"/>
      <c r="L43" s="295"/>
      <c r="M43" s="295"/>
      <c r="N43" s="292" t="s">
        <v>3</v>
      </c>
      <c r="O43" s="295"/>
      <c r="P43" s="295"/>
      <c r="Q43" s="295"/>
      <c r="R43" s="295"/>
      <c r="S43" s="295"/>
      <c r="T43" s="295"/>
      <c r="U43" s="295"/>
      <c r="V43" s="295"/>
      <c r="W43" s="295"/>
      <c r="X43" s="295"/>
      <c r="Y43" s="295"/>
      <c r="Z43" s="295"/>
      <c r="AA43" s="295"/>
      <c r="AB43" s="295"/>
    </row>
    <row r="44" spans="1:98" s="285" customFormat="1" ht="20" customHeight="1">
      <c r="A44" s="295"/>
      <c r="B44" s="295"/>
      <c r="C44" s="388"/>
      <c r="D44" s="300" t="s">
        <v>559</v>
      </c>
      <c r="E44" s="337" t="e">
        <f ca="1">IF(E41&lt;'10A-Uplink DVBS2 ModCOD'!H7, "No Link",INDEX('10A-Uplink DVBS2 ModCOD'!I7:'10A-Uplink DVBS2 ModCOD'!I34,MATCH(E41,'10A-Uplink DVBS2 ModCOD'!H7:'10A-Uplink DVBS2 ModCOD'!H34,1),1))</f>
        <v>#NAME?</v>
      </c>
      <c r="F44" s="586" t="s">
        <v>31</v>
      </c>
      <c r="G44" s="297"/>
      <c r="H44" s="297" t="s">
        <v>3</v>
      </c>
      <c r="I44" s="297"/>
      <c r="J44" s="297" t="s">
        <v>3</v>
      </c>
      <c r="K44" s="389"/>
      <c r="L44" s="295"/>
      <c r="M44" s="292" t="s">
        <v>3</v>
      </c>
      <c r="N44" s="295"/>
      <c r="O44" s="295"/>
      <c r="P44" s="295"/>
      <c r="Q44" s="295"/>
      <c r="R44" s="295"/>
      <c r="S44" s="295"/>
      <c r="T44" s="295"/>
      <c r="U44" s="295"/>
      <c r="V44" s="295"/>
      <c r="W44" s="295"/>
      <c r="X44" s="295"/>
      <c r="Y44" s="295"/>
      <c r="Z44" s="295"/>
      <c r="AA44" s="295"/>
      <c r="AB44" s="295"/>
    </row>
    <row r="45" spans="1:98" s="285" customFormat="1" ht="20" customHeight="1">
      <c r="A45" s="295"/>
      <c r="B45" s="295"/>
      <c r="C45" s="388"/>
      <c r="D45" s="300"/>
      <c r="E45" s="297"/>
      <c r="F45" s="297"/>
      <c r="G45" s="297"/>
      <c r="H45" s="297"/>
      <c r="I45" s="297"/>
      <c r="J45" s="297"/>
      <c r="K45" s="389"/>
      <c r="L45" s="295"/>
      <c r="M45" s="292"/>
      <c r="N45" s="295"/>
      <c r="O45" s="295"/>
      <c r="P45" s="295"/>
      <c r="Q45" s="295"/>
      <c r="R45" s="295"/>
      <c r="S45" s="295"/>
      <c r="T45" s="295"/>
      <c r="U45" s="295"/>
      <c r="V45" s="295"/>
      <c r="W45" s="295"/>
      <c r="X45" s="295"/>
      <c r="Y45" s="295"/>
      <c r="Z45" s="295"/>
      <c r="AA45" s="295"/>
      <c r="AB45" s="295"/>
    </row>
    <row r="46" spans="1:98" s="285" customFormat="1" ht="20" customHeight="1">
      <c r="A46" s="295"/>
      <c r="B46" s="295"/>
      <c r="C46" s="388"/>
      <c r="D46" s="300" t="s">
        <v>564</v>
      </c>
      <c r="E46" s="584" t="e">
        <f ca="1">IF(E41&lt;'10A-Uplink DVBS2 ModCOD'!H7, "No Link",INDEX('10A-Uplink DVBS2 ModCOD'!E7:'10A-Uplink DVBS2 ModCOD'!E34,MATCH(E41,'10A-Uplink DVBS2 ModCOD'!H7:'10A-Uplink DVBS2 ModCOD'!H34,1),1))</f>
        <v>#NAME?</v>
      </c>
      <c r="F46" s="586" t="s">
        <v>31</v>
      </c>
      <c r="G46" s="297"/>
      <c r="H46" s="297"/>
      <c r="I46" s="297" t="s">
        <v>3</v>
      </c>
      <c r="J46" s="297"/>
      <c r="K46" s="389"/>
      <c r="L46" s="295"/>
      <c r="M46" s="292"/>
      <c r="N46" s="295"/>
      <c r="O46" s="295"/>
      <c r="P46" s="295"/>
      <c r="Q46" s="295"/>
      <c r="R46" s="295"/>
      <c r="S46" s="295"/>
      <c r="T46" s="295"/>
      <c r="U46" s="295"/>
      <c r="V46" s="295"/>
      <c r="W46" s="295"/>
      <c r="X46" s="295"/>
      <c r="Y46" s="295"/>
      <c r="Z46" s="295"/>
      <c r="AA46" s="295"/>
      <c r="AB46" s="295"/>
    </row>
    <row r="47" spans="1:98" s="285" customFormat="1" ht="20" customHeight="1">
      <c r="A47" s="295"/>
      <c r="B47" s="295"/>
      <c r="C47" s="391"/>
      <c r="D47" s="392"/>
      <c r="E47" s="393"/>
      <c r="F47" s="394"/>
      <c r="G47" s="394"/>
      <c r="H47" s="394"/>
      <c r="I47" s="394"/>
      <c r="J47" s="394"/>
      <c r="K47" s="395"/>
      <c r="L47" s="295"/>
      <c r="M47" s="295"/>
      <c r="N47" s="295"/>
      <c r="O47" s="295"/>
      <c r="P47" s="295"/>
      <c r="Q47" s="295"/>
      <c r="R47" s="295"/>
      <c r="S47" s="295"/>
      <c r="T47" s="295"/>
      <c r="U47" s="295"/>
      <c r="V47" s="295"/>
      <c r="W47" s="295"/>
      <c r="X47" s="295"/>
      <c r="Y47" s="295"/>
      <c r="Z47" s="295"/>
      <c r="AA47" s="295"/>
      <c r="AB47" s="295"/>
    </row>
    <row r="48" spans="1:98" s="285" customFormat="1" ht="20" customHeight="1">
      <c r="A48" s="295"/>
      <c r="B48" s="295"/>
      <c r="C48" s="297"/>
      <c r="D48" s="396"/>
      <c r="E48" s="298"/>
      <c r="F48" s="297"/>
      <c r="G48" s="297"/>
      <c r="H48" s="297"/>
      <c r="I48" s="297"/>
      <c r="J48" s="297"/>
      <c r="K48" s="297"/>
      <c r="L48" s="295"/>
      <c r="M48" s="295"/>
      <c r="N48" s="295"/>
      <c r="O48" s="295"/>
      <c r="P48" s="295"/>
      <c r="Q48" s="295"/>
      <c r="R48" s="295"/>
      <c r="S48" s="295"/>
      <c r="T48" s="295"/>
      <c r="U48" s="295"/>
      <c r="V48" s="295"/>
      <c r="W48" s="295"/>
      <c r="X48" s="295"/>
      <c r="Y48" s="295"/>
      <c r="Z48" s="295"/>
      <c r="AA48" s="295"/>
      <c r="AB48" s="295"/>
    </row>
    <row r="49" spans="1:28" s="285" customFormat="1" ht="20" customHeight="1">
      <c r="A49" s="295"/>
      <c r="B49" s="295"/>
      <c r="C49" s="397"/>
      <c r="D49" s="382" t="s">
        <v>562</v>
      </c>
      <c r="E49" s="383" t="s">
        <v>396</v>
      </c>
      <c r="F49" s="511" t="s">
        <v>551</v>
      </c>
      <c r="G49" s="398"/>
      <c r="H49" s="570" t="s">
        <v>683</v>
      </c>
      <c r="I49" s="398"/>
      <c r="J49" s="398"/>
      <c r="K49" s="405"/>
      <c r="L49" s="295"/>
      <c r="M49" s="295"/>
      <c r="N49" s="295"/>
      <c r="O49" s="295"/>
      <c r="P49" s="295"/>
      <c r="Q49" s="295"/>
      <c r="R49" s="295"/>
      <c r="S49" s="295"/>
      <c r="T49" s="295"/>
      <c r="U49" s="295"/>
      <c r="V49" s="295"/>
      <c r="W49" s="295"/>
      <c r="X49" s="295"/>
      <c r="Y49" s="295"/>
      <c r="Z49" s="295"/>
      <c r="AA49" s="295"/>
      <c r="AB49" s="295"/>
    </row>
    <row r="50" spans="1:28" s="285" customFormat="1" ht="20" customHeight="1">
      <c r="A50" s="295"/>
      <c r="B50" s="295"/>
      <c r="C50" s="388"/>
      <c r="D50" s="297"/>
      <c r="E50" s="298"/>
      <c r="F50" s="297"/>
      <c r="G50" s="297"/>
      <c r="H50" s="297"/>
      <c r="I50" s="297"/>
      <c r="J50" s="297"/>
      <c r="K50" s="389"/>
      <c r="L50" s="295"/>
      <c r="M50" s="295"/>
      <c r="N50" s="295"/>
      <c r="O50" s="295"/>
      <c r="P50" s="295"/>
      <c r="Q50" s="295"/>
      <c r="R50" s="295"/>
      <c r="S50" s="295"/>
      <c r="T50" s="295"/>
      <c r="U50" s="295"/>
      <c r="V50" s="295"/>
      <c r="W50" s="295"/>
      <c r="X50" s="295"/>
      <c r="Y50" s="295"/>
      <c r="Z50" s="295"/>
      <c r="AA50" s="295"/>
      <c r="AB50" s="295"/>
    </row>
    <row r="51" spans="1:28" s="285" customFormat="1" ht="20" customHeight="1">
      <c r="A51" s="295"/>
      <c r="B51" s="295"/>
      <c r="C51" s="399"/>
      <c r="D51" s="300" t="s">
        <v>337</v>
      </c>
      <c r="E51" s="333">
        <f>'10B-Downlink DVBS2(X) ModCOD'!F6</f>
        <v>0.90909090909090906</v>
      </c>
      <c r="F51" s="339" t="s">
        <v>402</v>
      </c>
      <c r="G51" s="297"/>
      <c r="H51" s="297"/>
      <c r="I51" s="297"/>
      <c r="J51" s="297"/>
      <c r="K51" s="389"/>
      <c r="L51" s="295"/>
      <c r="M51" s="295" t="s">
        <v>3</v>
      </c>
      <c r="N51" s="295"/>
      <c r="O51" s="295"/>
      <c r="P51" s="295"/>
      <c r="Q51" s="295"/>
      <c r="R51" s="295"/>
      <c r="S51" s="295"/>
      <c r="T51" s="295"/>
      <c r="U51" s="295"/>
      <c r="V51" s="295"/>
      <c r="W51" s="295"/>
      <c r="X51" s="295"/>
      <c r="Y51" s="295"/>
      <c r="Z51" s="295"/>
      <c r="AA51" s="295"/>
      <c r="AB51" s="295"/>
    </row>
    <row r="52" spans="1:28" s="285" customFormat="1" ht="20" customHeight="1">
      <c r="A52" s="295"/>
      <c r="B52" s="295"/>
      <c r="C52" s="399"/>
      <c r="D52" s="300"/>
      <c r="E52" s="400"/>
      <c r="F52" s="297"/>
      <c r="G52" s="297"/>
      <c r="H52" s="297"/>
      <c r="I52" s="297"/>
      <c r="J52" s="297"/>
      <c r="K52" s="389"/>
      <c r="L52" s="590" t="s">
        <v>3</v>
      </c>
      <c r="M52" s="295"/>
      <c r="N52" s="295"/>
      <c r="O52" s="292" t="s">
        <v>3</v>
      </c>
      <c r="P52" s="295"/>
      <c r="Q52" s="295"/>
      <c r="R52" s="295"/>
      <c r="S52" s="295"/>
      <c r="T52" s="295"/>
      <c r="U52" s="295"/>
      <c r="V52" s="295"/>
      <c r="W52" s="295"/>
      <c r="X52" s="295"/>
      <c r="Y52" s="295"/>
      <c r="Z52" s="295"/>
      <c r="AA52" s="295"/>
      <c r="AB52" s="295"/>
    </row>
    <row r="53" spans="1:28" s="285" customFormat="1" ht="20" customHeight="1">
      <c r="A53" s="295"/>
      <c r="B53" s="295"/>
      <c r="C53" s="399"/>
      <c r="D53" s="300" t="s">
        <v>332</v>
      </c>
      <c r="E53" s="487" t="e">
        <f ca="1">IF(E67&lt;'10B-Downlink DVBS2(X) ModCOD'!H6, "No Link",INDEX('10B-Downlink DVBS2(X) ModCOD'!C6:'10B-Downlink DVBS2(X) ModCOD'!C72,MATCH(E67,'10B-Downlink DVBS2(X) ModCOD'!H6:'10B-Downlink DVBS2(X) ModCOD'!H72,1),1))</f>
        <v>#NAME?</v>
      </c>
      <c r="F53" s="297"/>
      <c r="G53" s="465" t="e">
        <f ca="1">IF('3-Link Scenario Planner'!E67&lt;'10B-Downlink DVBS2(X) ModCOD'!H6,"Signal Strength Below MODEM Threshold", "Signal Strength Within MODEM Range")</f>
        <v>#NAME?</v>
      </c>
      <c r="H53" s="297"/>
      <c r="I53" s="297"/>
      <c r="J53" s="297"/>
      <c r="K53" s="389"/>
      <c r="L53" s="295"/>
      <c r="M53" s="295"/>
      <c r="N53" s="295"/>
      <c r="O53" s="295"/>
      <c r="P53" s="295"/>
      <c r="Q53" s="295"/>
      <c r="R53" s="295"/>
      <c r="S53" s="295"/>
      <c r="T53" s="295"/>
      <c r="U53" s="295"/>
      <c r="V53" s="295"/>
      <c r="W53" s="295"/>
      <c r="X53" s="295"/>
      <c r="Y53" s="295"/>
      <c r="Z53" s="295"/>
      <c r="AA53" s="295"/>
      <c r="AB53" s="295"/>
    </row>
    <row r="54" spans="1:28" s="285" customFormat="1" ht="20" customHeight="1">
      <c r="A54" s="295"/>
      <c r="B54" s="295"/>
      <c r="C54" s="399"/>
      <c r="D54" s="300"/>
      <c r="E54" s="400" t="s">
        <v>3</v>
      </c>
      <c r="F54" s="297"/>
      <c r="G54" s="297"/>
      <c r="H54" s="297"/>
      <c r="I54" s="297"/>
      <c r="J54" s="300" t="s">
        <v>429</v>
      </c>
      <c r="K54" s="389"/>
      <c r="L54" s="295"/>
      <c r="M54" s="295" t="s">
        <v>3</v>
      </c>
      <c r="N54" s="295"/>
      <c r="O54" s="295"/>
      <c r="P54" s="295"/>
      <c r="Q54" s="295"/>
      <c r="R54" s="295"/>
      <c r="S54" s="295"/>
      <c r="T54" s="295"/>
      <c r="U54" s="295"/>
      <c r="V54" s="295"/>
      <c r="W54" s="295"/>
      <c r="X54" s="295"/>
      <c r="Y54" s="295"/>
      <c r="Z54" s="295"/>
      <c r="AA54" s="295"/>
      <c r="AB54" s="295"/>
    </row>
    <row r="55" spans="1:28" s="285" customFormat="1" ht="20" customHeight="1">
      <c r="A55" s="295"/>
      <c r="B55" s="295"/>
      <c r="C55" s="399"/>
      <c r="D55" s="300" t="s">
        <v>333</v>
      </c>
      <c r="E55" s="488" t="e">
        <f ca="1">IF(E67&lt;'10B-Downlink DVBS2(X) ModCOD'!H6,"No Link",INDEX('10B-Downlink DVBS2(X) ModCOD'!D6:'10B-Downlink DVBS2(X) ModCOD'!D72,MATCH(E67,'10B-Downlink DVBS2(X) ModCOD'!H6:'10B-Downlink DVBS2(X) ModCOD'!H72,1),1))</f>
        <v>#NAME?</v>
      </c>
      <c r="F55" s="297" t="s">
        <v>3</v>
      </c>
      <c r="G55" s="297"/>
      <c r="H55" s="297"/>
      <c r="I55" s="297"/>
      <c r="J55" s="297"/>
      <c r="K55" s="389"/>
      <c r="L55" s="295"/>
      <c r="M55" s="295"/>
      <c r="N55" s="295"/>
      <c r="O55" s="295"/>
      <c r="P55" s="295"/>
      <c r="Q55" s="295"/>
      <c r="R55" s="295"/>
      <c r="S55" s="295"/>
      <c r="T55" s="295"/>
      <c r="U55" s="295"/>
      <c r="V55" s="295"/>
      <c r="W55" s="295"/>
      <c r="X55" s="295"/>
      <c r="Y55" s="295"/>
      <c r="Z55" s="295"/>
      <c r="AA55" s="295"/>
      <c r="AB55" s="295"/>
    </row>
    <row r="56" spans="1:28" s="285" customFormat="1" ht="20" customHeight="1">
      <c r="A56" s="295"/>
      <c r="B56" s="295"/>
      <c r="C56" s="399"/>
      <c r="D56" s="300"/>
      <c r="E56" s="400"/>
      <c r="F56" s="297"/>
      <c r="G56" s="297"/>
      <c r="H56" s="390" t="s">
        <v>545</v>
      </c>
      <c r="I56" s="297"/>
      <c r="J56" s="297"/>
      <c r="K56" s="389"/>
      <c r="L56" s="295"/>
      <c r="M56" s="295" t="s">
        <v>3</v>
      </c>
      <c r="N56" s="295"/>
      <c r="O56" s="295"/>
      <c r="P56" s="295"/>
      <c r="Q56" s="295"/>
      <c r="R56" s="295"/>
      <c r="S56" s="295"/>
      <c r="T56" s="295"/>
      <c r="U56" s="295"/>
      <c r="V56" s="295"/>
      <c r="W56" s="295"/>
      <c r="X56" s="295"/>
      <c r="Y56" s="295"/>
      <c r="Z56" s="295"/>
      <c r="AA56" s="295"/>
      <c r="AB56" s="295"/>
    </row>
    <row r="57" spans="1:28" s="285" customFormat="1" ht="20" customHeight="1">
      <c r="A57" s="295"/>
      <c r="B57" s="295"/>
      <c r="C57" s="399"/>
      <c r="D57" s="300" t="s">
        <v>334</v>
      </c>
      <c r="E57" s="583" t="e">
        <f ca="1">IF(E67&lt;'10B-Downlink DVBS2(X) ModCOD'!H6,"No Link",INDEX('10B-Downlink DVBS2(X) ModCOD'!L6:'10B-Downlink DVBS2(X) ModCOD'!L72,MATCH(E67,'10B-Downlink DVBS2(X) ModCOD'!H6:'10B-Downlink DVBS2(X) ModCOD'!H72,1),1))</f>
        <v>#NAME?</v>
      </c>
      <c r="F57" s="303" t="s">
        <v>179</v>
      </c>
      <c r="G57" s="580" t="s">
        <v>553</v>
      </c>
      <c r="H57" s="340">
        <f>'4A-Orbit'!G26</f>
        <v>20</v>
      </c>
      <c r="I57" s="297"/>
      <c r="J57" s="297"/>
      <c r="K57" s="389"/>
      <c r="L57" s="295"/>
      <c r="M57" s="295"/>
      <c r="N57" s="295"/>
      <c r="O57" s="295"/>
      <c r="P57" s="295"/>
      <c r="Q57" s="295"/>
      <c r="R57" s="295"/>
      <c r="S57" s="295"/>
      <c r="T57" s="295"/>
      <c r="U57" s="295"/>
      <c r="V57" s="295"/>
      <c r="W57" s="295"/>
      <c r="X57" s="295"/>
      <c r="Y57" s="295"/>
      <c r="Z57" s="295"/>
      <c r="AA57" s="295"/>
      <c r="AB57" s="295"/>
    </row>
    <row r="58" spans="1:28" s="285" customFormat="1" ht="20" customHeight="1">
      <c r="A58" s="295"/>
      <c r="B58" s="295"/>
      <c r="C58" s="399"/>
      <c r="D58" s="297"/>
      <c r="E58" s="300"/>
      <c r="F58" s="297"/>
      <c r="G58" s="297"/>
      <c r="H58" s="297"/>
      <c r="I58" s="297"/>
      <c r="J58" s="297"/>
      <c r="K58" s="389"/>
      <c r="L58" s="295"/>
      <c r="M58" s="295"/>
      <c r="N58" s="295"/>
      <c r="O58" s="295"/>
      <c r="P58" s="295"/>
      <c r="Q58" s="295"/>
      <c r="R58" s="295"/>
      <c r="S58" s="295"/>
      <c r="T58" s="295"/>
      <c r="U58" s="295"/>
      <c r="V58" s="295"/>
      <c r="W58" s="295"/>
      <c r="X58" s="295"/>
      <c r="Y58" s="295"/>
      <c r="Z58" s="295"/>
      <c r="AA58" s="295"/>
      <c r="AB58" s="295"/>
    </row>
    <row r="59" spans="1:28" s="285" customFormat="1" ht="20" customHeight="1">
      <c r="A59" s="295"/>
      <c r="B59" s="295"/>
      <c r="C59" s="399"/>
      <c r="D59" s="300" t="s">
        <v>335</v>
      </c>
      <c r="E59" s="572" t="e">
        <f ca="1">'11B- ITU P618-6 Downlink'!$D$20</f>
        <v>#NAME?</v>
      </c>
      <c r="F59" s="573" t="s">
        <v>302</v>
      </c>
      <c r="G59" s="297"/>
      <c r="H59" s="297"/>
      <c r="I59" s="297"/>
      <c r="J59" s="297"/>
      <c r="K59" s="389"/>
      <c r="L59" s="295"/>
      <c r="M59" s="295"/>
      <c r="N59" s="295"/>
      <c r="O59" s="295"/>
      <c r="P59" s="295"/>
      <c r="Q59" s="295"/>
      <c r="R59" s="295"/>
      <c r="S59" s="295"/>
      <c r="T59" s="295"/>
      <c r="U59" s="295"/>
      <c r="V59" s="295"/>
      <c r="W59" s="295"/>
      <c r="X59" s="295"/>
      <c r="Y59" s="295"/>
      <c r="Z59" s="295"/>
      <c r="AA59" s="295"/>
      <c r="AB59" s="295"/>
    </row>
    <row r="60" spans="1:28" s="285" customFormat="1" ht="20" customHeight="1">
      <c r="A60" s="295"/>
      <c r="B60" s="295"/>
      <c r="C60" s="399"/>
      <c r="D60" s="300"/>
      <c r="E60" s="400"/>
      <c r="F60" s="297"/>
      <c r="G60" s="297"/>
      <c r="H60" s="300" t="s">
        <v>339</v>
      </c>
      <c r="I60" s="297"/>
      <c r="J60" s="297"/>
      <c r="K60" s="389"/>
      <c r="L60" s="295"/>
      <c r="M60" s="295"/>
      <c r="N60" s="295"/>
      <c r="O60" s="295"/>
      <c r="P60" s="295"/>
      <c r="Q60" s="295"/>
      <c r="R60" s="295"/>
      <c r="S60" s="295"/>
      <c r="T60" s="295"/>
      <c r="U60" s="295"/>
      <c r="V60" s="295"/>
      <c r="W60" s="295"/>
      <c r="X60" s="295"/>
      <c r="Y60" s="295"/>
      <c r="Z60" s="295"/>
      <c r="AA60" s="295"/>
      <c r="AB60" s="295"/>
    </row>
    <row r="61" spans="1:28" s="285" customFormat="1" ht="20" customHeight="1">
      <c r="A61" s="295"/>
      <c r="B61" s="295"/>
      <c r="C61" s="399"/>
      <c r="D61" s="585" t="s">
        <v>557</v>
      </c>
      <c r="E61" s="333" t="e">
        <f ca="1">'11B- ITU P618-6 Downlink'!$D$35</f>
        <v>#NAME?</v>
      </c>
      <c r="F61" s="339" t="s">
        <v>31</v>
      </c>
      <c r="G61" s="297"/>
      <c r="H61" s="589">
        <f>E15</f>
        <v>99.5</v>
      </c>
      <c r="I61" s="588" t="s">
        <v>567</v>
      </c>
      <c r="J61" s="297"/>
      <c r="K61" s="389"/>
      <c r="L61" s="295"/>
      <c r="M61" s="295"/>
      <c r="N61" s="295"/>
      <c r="O61" s="295"/>
      <c r="P61" s="295"/>
      <c r="Q61" s="295"/>
      <c r="R61" s="295"/>
      <c r="S61" s="295"/>
      <c r="T61" s="295"/>
      <c r="U61" s="295"/>
      <c r="V61" s="295"/>
      <c r="W61" s="295"/>
      <c r="X61" s="295"/>
      <c r="Y61" s="295"/>
      <c r="Z61" s="295"/>
      <c r="AA61" s="295"/>
      <c r="AB61" s="295"/>
    </row>
    <row r="62" spans="1:28" s="285" customFormat="1" ht="20" customHeight="1">
      <c r="A62" s="295"/>
      <c r="B62" s="295"/>
      <c r="C62" s="399"/>
      <c r="D62" s="300"/>
      <c r="E62" s="400"/>
      <c r="F62" s="297"/>
      <c r="G62" s="297"/>
      <c r="H62" s="297"/>
      <c r="I62" s="297"/>
      <c r="J62" s="297"/>
      <c r="K62" s="389"/>
      <c r="L62" s="295"/>
      <c r="M62" s="295"/>
      <c r="N62" s="295"/>
      <c r="O62" s="295"/>
      <c r="P62" s="295"/>
      <c r="Q62" s="295"/>
      <c r="R62" s="295"/>
      <c r="S62" s="295"/>
      <c r="T62" s="295"/>
      <c r="U62" s="295"/>
      <c r="V62" s="295"/>
      <c r="W62" s="295"/>
      <c r="X62" s="295"/>
      <c r="Y62" s="295"/>
      <c r="Z62" s="295"/>
      <c r="AA62" s="295"/>
      <c r="AB62" s="295"/>
    </row>
    <row r="63" spans="1:28" s="285" customFormat="1" ht="20" customHeight="1">
      <c r="A63" s="295"/>
      <c r="B63" s="295"/>
      <c r="C63" s="399"/>
      <c r="D63" s="300" t="s">
        <v>456</v>
      </c>
      <c r="E63" s="581" t="e">
        <f ca="1">IF(E67&lt;'10B-Downlink DVBS2(X) ModCOD'!H6,"No Link",INDEX('10B-Downlink DVBS2(X) ModCOD'!J6:'10B-Downlink DVBS2(X) ModCOD'!J72,MATCH(E67,'10B-Downlink DVBS2(X) ModCOD'!H6:'10B-Downlink DVBS2(X) ModCOD'!H72,1),1))</f>
        <v>#NAME?</v>
      </c>
      <c r="F63" s="486" t="s">
        <v>486</v>
      </c>
      <c r="G63" s="297"/>
      <c r="H63" s="297"/>
      <c r="I63" s="297"/>
      <c r="J63" s="297"/>
      <c r="K63" s="389"/>
      <c r="L63" s="295"/>
      <c r="M63" s="295"/>
      <c r="N63" s="295"/>
      <c r="O63" s="295"/>
      <c r="P63" s="295"/>
      <c r="Q63" s="295"/>
      <c r="R63" s="295"/>
      <c r="S63" s="295"/>
      <c r="T63" s="295"/>
      <c r="U63" s="295"/>
      <c r="V63" s="295"/>
      <c r="W63" s="295"/>
      <c r="X63" s="295"/>
      <c r="Y63" s="295"/>
      <c r="Z63" s="295"/>
      <c r="AA63" s="295"/>
      <c r="AB63" s="295"/>
    </row>
    <row r="64" spans="1:28" s="285" customFormat="1" ht="20" customHeight="1">
      <c r="A64" s="295"/>
      <c r="B64" s="295"/>
      <c r="C64" s="399"/>
      <c r="D64" s="300"/>
      <c r="E64" s="400"/>
      <c r="F64" s="297"/>
      <c r="G64" s="297"/>
      <c r="H64" s="297" t="s">
        <v>3</v>
      </c>
      <c r="I64" s="297"/>
      <c r="J64" s="297"/>
      <c r="K64" s="389"/>
      <c r="L64" s="295"/>
      <c r="M64" s="295"/>
      <c r="N64" s="295"/>
      <c r="O64" s="295"/>
      <c r="P64" s="295"/>
      <c r="Q64" s="295"/>
      <c r="R64" s="295"/>
      <c r="S64" s="295"/>
      <c r="T64" s="295"/>
      <c r="U64" s="295"/>
      <c r="V64" s="295"/>
      <c r="W64" s="295"/>
      <c r="X64" s="295"/>
      <c r="Y64" s="295"/>
      <c r="Z64" s="295"/>
      <c r="AA64" s="295"/>
      <c r="AB64" s="295"/>
    </row>
    <row r="65" spans="1:28" s="285" customFormat="1" ht="20" customHeight="1">
      <c r="A65" s="295"/>
      <c r="B65" s="295"/>
      <c r="C65" s="399"/>
      <c r="D65" s="300" t="s">
        <v>555</v>
      </c>
      <c r="E65" s="337">
        <f>'6-SC TX &amp; RX Set-Up'!D15</f>
        <v>1.76</v>
      </c>
      <c r="F65" s="338" t="s">
        <v>31</v>
      </c>
      <c r="G65" s="297"/>
      <c r="H65" s="401" t="s">
        <v>338</v>
      </c>
      <c r="I65" s="341">
        <f>'6-SC TX &amp; RX Set-Up'!D19</f>
        <v>20</v>
      </c>
      <c r="J65" s="401" t="s">
        <v>385</v>
      </c>
      <c r="K65" s="466">
        <f>'6-SC TX &amp; RX Set-Up'!D17</f>
        <v>0.28000000000000003</v>
      </c>
      <c r="L65" s="295"/>
      <c r="M65" s="295"/>
      <c r="N65" s="295"/>
      <c r="O65" s="295"/>
      <c r="P65" s="295"/>
      <c r="Q65" s="295"/>
      <c r="R65" s="295"/>
      <c r="S65" s="295"/>
      <c r="T65" s="295"/>
      <c r="U65" s="295"/>
      <c r="V65" s="295"/>
      <c r="W65" s="295"/>
      <c r="X65" s="295"/>
      <c r="Y65" s="295"/>
      <c r="Z65" s="295"/>
      <c r="AA65" s="295"/>
      <c r="AB65" s="295"/>
    </row>
    <row r="66" spans="1:28" s="285" customFormat="1" ht="20" customHeight="1">
      <c r="A66" s="295"/>
      <c r="B66" s="295"/>
      <c r="C66" s="399"/>
      <c r="D66" s="300"/>
      <c r="E66" s="400"/>
      <c r="F66" s="297"/>
      <c r="G66" s="297"/>
      <c r="H66" s="297"/>
      <c r="I66" s="297"/>
      <c r="J66" s="297"/>
      <c r="K66" s="389"/>
      <c r="L66" s="295"/>
      <c r="M66" s="295"/>
      <c r="N66" s="295"/>
      <c r="O66" s="295"/>
      <c r="P66" s="295"/>
      <c r="Q66" s="295"/>
      <c r="R66" s="295"/>
      <c r="S66" s="295"/>
      <c r="T66" s="295"/>
      <c r="U66" s="295"/>
      <c r="V66" s="295"/>
      <c r="W66" s="295"/>
      <c r="X66" s="295"/>
      <c r="Y66" s="295"/>
      <c r="Z66" s="295"/>
      <c r="AA66" s="295"/>
      <c r="AB66" s="295"/>
    </row>
    <row r="67" spans="1:28" s="285" customFormat="1" ht="20" customHeight="1">
      <c r="A67" s="295"/>
      <c r="B67" s="295"/>
      <c r="C67" s="399"/>
      <c r="D67" s="300" t="s">
        <v>549</v>
      </c>
      <c r="E67" s="582" t="e">
        <f ca="1">IF(H15="Yes",'9-Downlink Budget'!C47,'9-Downlink Budget'!C46)</f>
        <v>#NAME?</v>
      </c>
      <c r="F67" s="338" t="s">
        <v>57</v>
      </c>
      <c r="G67" s="297"/>
      <c r="H67" s="574" t="e">
        <f ca="1">E67-'10B-Downlink DVBS2(X) ModCOD'!H6</f>
        <v>#NAME?</v>
      </c>
      <c r="I67" s="575" t="s">
        <v>433</v>
      </c>
      <c r="J67" s="297"/>
      <c r="K67" s="389"/>
      <c r="L67" s="295"/>
      <c r="M67" s="295"/>
      <c r="N67" s="295"/>
      <c r="O67" s="295"/>
      <c r="P67" s="295"/>
      <c r="Q67" s="295"/>
      <c r="R67" s="295"/>
      <c r="S67" s="295"/>
      <c r="T67" s="295"/>
      <c r="U67" s="295"/>
      <c r="V67" s="295"/>
      <c r="W67" s="295"/>
      <c r="X67" s="295"/>
      <c r="Y67" s="295"/>
      <c r="Z67" s="295"/>
      <c r="AA67" s="295"/>
      <c r="AB67" s="295"/>
    </row>
    <row r="68" spans="1:28" s="285" customFormat="1" ht="20" customHeight="1">
      <c r="A68" s="295"/>
      <c r="B68" s="295"/>
      <c r="C68" s="399"/>
      <c r="D68" s="300"/>
      <c r="E68" s="965" t="str">
        <f>IF(H15="Yes", "Faded (with Rain &amp; Clouds)", "Clear Sky (Atmosphere + Scintillation Only)")</f>
        <v>Clear Sky (Atmosphere + Scintillation Only)</v>
      </c>
      <c r="F68" s="966"/>
      <c r="G68" s="297"/>
      <c r="H68" s="468"/>
      <c r="I68" s="469"/>
      <c r="J68" s="297"/>
      <c r="K68" s="389"/>
      <c r="L68" s="295"/>
      <c r="M68" s="295"/>
      <c r="N68" s="295"/>
      <c r="O68" s="295"/>
      <c r="P68" s="295"/>
      <c r="Q68" s="295"/>
      <c r="R68" s="295"/>
      <c r="S68" s="295"/>
      <c r="T68" s="295"/>
      <c r="U68" s="295"/>
      <c r="V68" s="295"/>
      <c r="W68" s="295"/>
      <c r="X68" s="295"/>
      <c r="Y68" s="295"/>
      <c r="Z68" s="295"/>
      <c r="AA68" s="295"/>
      <c r="AB68" s="295"/>
    </row>
    <row r="69" spans="1:28" s="285" customFormat="1" ht="20" customHeight="1">
      <c r="A69" s="295"/>
      <c r="B69" s="295"/>
      <c r="C69" s="399"/>
      <c r="D69" s="300"/>
      <c r="E69" s="468"/>
      <c r="F69" s="468"/>
      <c r="G69" s="297"/>
      <c r="H69" s="468"/>
      <c r="I69" s="469"/>
      <c r="J69" s="297" t="s">
        <v>3</v>
      </c>
      <c r="K69" s="389"/>
      <c r="L69" s="295"/>
      <c r="M69" s="295"/>
      <c r="N69" s="295"/>
      <c r="O69" s="295"/>
      <c r="P69" s="295"/>
      <c r="Q69" s="295"/>
      <c r="R69" s="295"/>
      <c r="S69" s="295"/>
      <c r="T69" s="295"/>
      <c r="U69" s="295"/>
      <c r="V69" s="295"/>
      <c r="W69" s="295"/>
      <c r="X69" s="295"/>
      <c r="Y69" s="295"/>
      <c r="Z69" s="295"/>
      <c r="AA69" s="295"/>
      <c r="AB69" s="295"/>
    </row>
    <row r="70" spans="1:28" s="285" customFormat="1" ht="20" customHeight="1">
      <c r="A70" s="295"/>
      <c r="B70" s="295"/>
      <c r="C70" s="399"/>
      <c r="D70" s="300" t="s">
        <v>560</v>
      </c>
      <c r="E70" s="337" t="e">
        <f ca="1">IF(E67&lt;'10B-Downlink DVBS2(X) ModCOD'!H6, "No Link",INDEX('10B-Downlink DVBS2(X) ModCOD'!I6:'10B-Downlink DVBS2(X) ModCOD'!I72,MATCH(E67,'10B-Downlink DVBS2(X) ModCOD'!H6:'10B-Downlink DVBS2(X) ModCOD'!H72,1),1))</f>
        <v>#NAME?</v>
      </c>
      <c r="F70" s="586" t="s">
        <v>31</v>
      </c>
      <c r="G70" s="297"/>
      <c r="H70" s="468"/>
      <c r="I70" s="469"/>
      <c r="J70" s="297"/>
      <c r="K70" s="389"/>
      <c r="L70" s="295"/>
      <c r="M70" s="295"/>
      <c r="N70" s="295"/>
      <c r="O70" s="295"/>
      <c r="P70" s="295"/>
      <c r="Q70" s="295"/>
      <c r="R70" s="295"/>
      <c r="S70" s="295"/>
      <c r="T70" s="295"/>
      <c r="U70" s="295"/>
      <c r="V70" s="295"/>
      <c r="W70" s="295"/>
      <c r="X70" s="295"/>
      <c r="Y70" s="295"/>
      <c r="Z70" s="295"/>
      <c r="AA70" s="295"/>
      <c r="AB70" s="295"/>
    </row>
    <row r="71" spans="1:28" s="285" customFormat="1" ht="20" customHeight="1">
      <c r="A71" s="295"/>
      <c r="B71" s="295"/>
      <c r="C71" s="399"/>
      <c r="D71" s="300"/>
      <c r="E71" s="297"/>
      <c r="F71" s="297"/>
      <c r="G71" s="297"/>
      <c r="H71" s="468"/>
      <c r="I71" s="469"/>
      <c r="J71" s="297"/>
      <c r="K71" s="389"/>
      <c r="L71" s="295"/>
      <c r="M71" s="295"/>
      <c r="N71" s="295"/>
      <c r="O71" s="295"/>
      <c r="P71" s="295"/>
      <c r="Q71" s="295"/>
      <c r="R71" s="295"/>
      <c r="S71" s="295"/>
      <c r="T71" s="295"/>
      <c r="U71" s="295"/>
      <c r="V71" s="295"/>
      <c r="W71" s="295"/>
      <c r="X71" s="295"/>
      <c r="Y71" s="295"/>
      <c r="Z71" s="295"/>
      <c r="AA71" s="295"/>
      <c r="AB71" s="295"/>
    </row>
    <row r="72" spans="1:28" s="285" customFormat="1" ht="20" customHeight="1">
      <c r="A72" s="295"/>
      <c r="B72" s="295"/>
      <c r="C72" s="399"/>
      <c r="D72" s="300" t="s">
        <v>566</v>
      </c>
      <c r="E72" s="584" t="e">
        <f ca="1">IF(E67&lt;'10B-Downlink DVBS2(X) ModCOD'!H6, "No Link",INDEX('10B-Downlink DVBS2(X) ModCOD'!E6:'10B-Downlink DVBS2(X) ModCOD'!E72,MATCH(E67,'10B-Downlink DVBS2(X) ModCOD'!H6:'10B-Downlink DVBS2(X) ModCOD'!H72,1),1))</f>
        <v>#NAME?</v>
      </c>
      <c r="F72" s="586" t="s">
        <v>31</v>
      </c>
      <c r="G72" s="297"/>
      <c r="H72" s="468"/>
      <c r="I72" s="469"/>
      <c r="J72" s="297"/>
      <c r="K72" s="389"/>
      <c r="L72" s="295"/>
      <c r="M72" s="295"/>
      <c r="N72" s="295"/>
      <c r="O72" s="295"/>
      <c r="P72" s="295"/>
      <c r="Q72" s="295"/>
      <c r="R72" s="295"/>
      <c r="S72" s="295"/>
      <c r="T72" s="295"/>
      <c r="U72" s="295"/>
      <c r="V72" s="295"/>
      <c r="W72" s="295"/>
      <c r="X72" s="295"/>
      <c r="Y72" s="295"/>
      <c r="Z72" s="295"/>
      <c r="AA72" s="295"/>
      <c r="AB72" s="295"/>
    </row>
    <row r="73" spans="1:28" s="285" customFormat="1" ht="20" customHeight="1">
      <c r="A73" s="295"/>
      <c r="B73" s="295"/>
      <c r="C73" s="402"/>
      <c r="D73" s="403"/>
      <c r="E73" s="404"/>
      <c r="F73" s="394"/>
      <c r="G73" s="394"/>
      <c r="H73" s="394"/>
      <c r="I73" s="394"/>
      <c r="J73" s="394"/>
      <c r="K73" s="395"/>
      <c r="L73" s="295"/>
      <c r="M73" s="295"/>
      <c r="N73" s="295"/>
      <c r="O73" s="295"/>
      <c r="P73" s="295"/>
      <c r="Q73" s="295"/>
      <c r="R73" s="295"/>
      <c r="S73" s="295"/>
      <c r="T73" s="295"/>
      <c r="U73" s="295"/>
      <c r="V73" s="295"/>
      <c r="W73" s="295"/>
      <c r="X73" s="295"/>
      <c r="Y73" s="295"/>
      <c r="Z73" s="295"/>
      <c r="AA73" s="295"/>
      <c r="AB73" s="295"/>
    </row>
    <row r="74" spans="1:28" s="285" customFormat="1" ht="20" customHeight="1">
      <c r="A74" s="295"/>
      <c r="B74" s="295"/>
      <c r="C74" s="300"/>
      <c r="D74" s="300"/>
      <c r="E74" s="376"/>
      <c r="F74" s="300"/>
      <c r="G74" s="297"/>
      <c r="H74" s="300" t="s">
        <v>3</v>
      </c>
      <c r="I74" s="297"/>
      <c r="J74" s="297"/>
      <c r="K74" s="297"/>
      <c r="L74" s="295"/>
      <c r="M74" s="295"/>
      <c r="N74" s="295"/>
      <c r="O74" s="295"/>
      <c r="P74" s="295"/>
      <c r="Q74" s="295"/>
      <c r="R74" s="295"/>
      <c r="S74" s="295"/>
      <c r="T74" s="295"/>
      <c r="U74" s="295"/>
      <c r="V74" s="295"/>
      <c r="W74" s="295"/>
      <c r="X74" s="295"/>
      <c r="Y74" s="295"/>
      <c r="Z74" s="295"/>
      <c r="AA74" s="295"/>
      <c r="AB74" s="295"/>
    </row>
    <row r="75" spans="1:28" s="285" customFormat="1" ht="20" customHeight="1" thickBot="1">
      <c r="A75" s="295"/>
      <c r="B75" s="295"/>
      <c r="C75" s="943"/>
      <c r="D75" s="944" t="s">
        <v>3</v>
      </c>
      <c r="E75" s="945"/>
      <c r="F75" s="398"/>
      <c r="G75" s="398"/>
      <c r="H75" s="398"/>
      <c r="I75" s="398"/>
      <c r="J75" s="398"/>
      <c r="K75" s="405"/>
      <c r="L75" s="295"/>
      <c r="M75" s="295"/>
      <c r="N75" s="295"/>
      <c r="O75" s="295"/>
      <c r="P75" s="295"/>
      <c r="Q75" s="295"/>
      <c r="R75" s="295"/>
      <c r="S75" s="295"/>
      <c r="T75" s="295"/>
      <c r="U75" s="295"/>
      <c r="V75" s="295"/>
      <c r="W75" s="295"/>
      <c r="X75" s="295"/>
      <c r="Y75" s="295"/>
      <c r="Z75" s="295"/>
      <c r="AA75" s="295"/>
      <c r="AB75" s="295"/>
    </row>
    <row r="76" spans="1:28" s="285" customFormat="1" ht="20" customHeight="1" thickBot="1">
      <c r="A76" s="295"/>
      <c r="B76" s="295"/>
      <c r="C76" s="399"/>
      <c r="D76" s="950" t="s">
        <v>791</v>
      </c>
      <c r="E76" s="942">
        <v>9.4177</v>
      </c>
      <c r="F76" s="957" t="s">
        <v>789</v>
      </c>
      <c r="G76" s="958"/>
      <c r="H76" s="958"/>
      <c r="I76" s="959"/>
      <c r="J76" s="951" t="e">
        <f ca="1">INT(E57*1000/E76)</f>
        <v>#NAME?</v>
      </c>
      <c r="K76" s="389"/>
      <c r="L76" s="295"/>
      <c r="M76" s="295"/>
      <c r="N76" s="295"/>
      <c r="O76" s="295"/>
      <c r="P76" s="295"/>
      <c r="Q76" s="295"/>
      <c r="R76" s="295"/>
      <c r="S76" s="295"/>
      <c r="T76" s="295"/>
      <c r="U76" s="295"/>
      <c r="V76" s="295"/>
      <c r="W76" s="295"/>
      <c r="X76" s="295"/>
      <c r="Y76" s="295"/>
      <c r="Z76" s="295"/>
      <c r="AA76" s="295"/>
      <c r="AB76" s="295"/>
    </row>
    <row r="77" spans="1:28" s="285" customFormat="1" ht="20" customHeight="1">
      <c r="A77" s="295"/>
      <c r="B77" s="295"/>
      <c r="C77" s="946"/>
      <c r="D77" s="947"/>
      <c r="E77" s="948"/>
      <c r="F77" s="947"/>
      <c r="G77" s="947"/>
      <c r="H77" s="947"/>
      <c r="I77" s="947"/>
      <c r="J77" s="947"/>
      <c r="K77" s="949"/>
      <c r="L77" s="295"/>
      <c r="M77" s="295"/>
      <c r="N77" s="295"/>
      <c r="O77" s="295"/>
      <c r="P77" s="295"/>
      <c r="Q77" s="295"/>
      <c r="R77" s="295"/>
      <c r="S77" s="295"/>
      <c r="T77" s="295"/>
      <c r="U77" s="295"/>
      <c r="V77" s="295"/>
      <c r="W77" s="295"/>
      <c r="X77" s="295"/>
      <c r="Y77" s="295"/>
      <c r="Z77" s="295"/>
      <c r="AA77" s="295"/>
      <c r="AB77" s="295"/>
    </row>
    <row r="78" spans="1:28" s="285" customFormat="1" ht="20" customHeight="1">
      <c r="A78" s="295"/>
      <c r="B78" s="295"/>
      <c r="C78" s="295"/>
      <c r="D78" s="295"/>
      <c r="E78" s="296"/>
      <c r="F78" s="295"/>
      <c r="G78" s="295"/>
      <c r="H78" s="295"/>
      <c r="I78" s="295"/>
      <c r="J78" s="295"/>
      <c r="K78" s="295"/>
      <c r="L78" s="295"/>
      <c r="M78" s="295"/>
      <c r="N78" s="295"/>
      <c r="O78" s="295"/>
      <c r="P78" s="295"/>
      <c r="Q78" s="295"/>
      <c r="R78" s="295"/>
      <c r="S78" s="295"/>
      <c r="T78" s="295"/>
      <c r="U78" s="295"/>
      <c r="V78" s="295"/>
      <c r="W78" s="295"/>
      <c r="X78" s="295"/>
      <c r="Y78" s="295"/>
      <c r="Z78" s="295"/>
      <c r="AA78" s="295"/>
      <c r="AB78" s="295"/>
    </row>
    <row r="79" spans="1:28" s="285" customFormat="1" ht="20" customHeight="1">
      <c r="A79" s="295"/>
      <c r="B79" s="295"/>
      <c r="C79" s="295"/>
      <c r="D79" s="295"/>
      <c r="E79" s="296"/>
      <c r="F79" s="295"/>
      <c r="G79" s="295"/>
      <c r="H79" s="295"/>
      <c r="I79" s="295"/>
      <c r="J79" s="295"/>
      <c r="K79" s="295"/>
      <c r="L79" s="295"/>
      <c r="M79" s="295"/>
      <c r="N79" s="295"/>
      <c r="O79" s="295"/>
      <c r="P79" s="295"/>
      <c r="Q79" s="295"/>
      <c r="R79" s="295"/>
      <c r="S79" s="295"/>
      <c r="T79" s="295"/>
      <c r="U79" s="295"/>
      <c r="V79" s="295"/>
      <c r="W79" s="295"/>
      <c r="X79" s="295"/>
      <c r="Y79" s="295"/>
      <c r="Z79" s="295"/>
      <c r="AA79" s="295"/>
      <c r="AB79" s="295"/>
    </row>
    <row r="80" spans="1:28" s="285" customFormat="1" ht="20" customHeight="1">
      <c r="A80" s="295"/>
      <c r="B80" s="295"/>
      <c r="C80" s="295"/>
      <c r="D80" s="295"/>
      <c r="E80" s="296"/>
      <c r="F80" s="295"/>
      <c r="G80" s="295"/>
      <c r="H80" s="295"/>
      <c r="I80" s="295"/>
      <c r="J80" s="295"/>
      <c r="K80" s="295"/>
      <c r="L80" s="295"/>
      <c r="M80" s="295"/>
      <c r="N80" s="295"/>
      <c r="O80" s="295"/>
      <c r="P80" s="295"/>
      <c r="Q80" s="295"/>
      <c r="R80" s="295"/>
      <c r="S80" s="295"/>
      <c r="T80" s="295"/>
      <c r="U80" s="295"/>
      <c r="V80" s="295"/>
      <c r="W80" s="295"/>
      <c r="X80" s="295"/>
      <c r="Y80" s="295"/>
      <c r="Z80" s="295"/>
      <c r="AA80" s="295"/>
      <c r="AB80" s="295"/>
    </row>
    <row r="81" spans="1:28" s="285" customFormat="1" ht="20" customHeight="1">
      <c r="A81" s="295"/>
      <c r="B81" s="295"/>
      <c r="C81" s="295"/>
      <c r="D81" s="295"/>
      <c r="E81" s="296"/>
      <c r="F81" s="295"/>
      <c r="G81" s="295"/>
      <c r="H81" s="295"/>
      <c r="I81" s="295"/>
      <c r="J81" s="295"/>
      <c r="K81" s="295"/>
      <c r="L81" s="295"/>
      <c r="M81" s="295"/>
      <c r="N81" s="295"/>
      <c r="O81" s="295"/>
      <c r="P81" s="295"/>
      <c r="Q81" s="295"/>
      <c r="R81" s="295"/>
      <c r="S81" s="295"/>
      <c r="T81" s="295"/>
      <c r="U81" s="295"/>
      <c r="V81" s="295"/>
      <c r="W81" s="295"/>
      <c r="X81" s="295"/>
      <c r="Y81" s="295"/>
      <c r="Z81" s="295"/>
      <c r="AA81" s="295"/>
      <c r="AB81" s="295"/>
    </row>
    <row r="82" spans="1:28" s="285" customFormat="1" ht="20" customHeight="1">
      <c r="A82" s="295"/>
      <c r="B82" s="295"/>
      <c r="C82" s="295"/>
      <c r="D82" s="295"/>
      <c r="E82" s="296"/>
      <c r="F82" s="295"/>
      <c r="G82" s="295"/>
      <c r="H82" s="295"/>
      <c r="I82" s="295"/>
      <c r="J82" s="295"/>
      <c r="K82" s="295"/>
      <c r="L82" s="295"/>
      <c r="M82" s="295"/>
      <c r="N82" s="295"/>
      <c r="O82" s="295"/>
      <c r="P82" s="295"/>
      <c r="Q82" s="295"/>
      <c r="R82" s="295"/>
      <c r="S82" s="295"/>
      <c r="T82" s="295"/>
      <c r="U82" s="295"/>
      <c r="V82" s="295"/>
      <c r="W82" s="295"/>
      <c r="X82" s="295"/>
      <c r="Y82" s="295"/>
      <c r="Z82" s="295"/>
      <c r="AA82" s="295"/>
      <c r="AB82" s="295"/>
    </row>
    <row r="83" spans="1:28" s="285" customFormat="1" ht="20" customHeight="1">
      <c r="A83" s="295"/>
      <c r="B83" s="295"/>
      <c r="C83" s="295"/>
      <c r="D83" s="295"/>
      <c r="E83" s="296"/>
      <c r="F83" s="295"/>
      <c r="G83" s="295"/>
      <c r="H83" s="295"/>
      <c r="I83" s="295"/>
      <c r="J83" s="295"/>
      <c r="K83" s="295"/>
      <c r="L83" s="295"/>
      <c r="M83" s="295"/>
      <c r="N83" s="295"/>
      <c r="O83" s="295"/>
      <c r="P83" s="295"/>
      <c r="Q83" s="295"/>
      <c r="R83" s="295"/>
      <c r="S83" s="295"/>
      <c r="T83" s="295"/>
      <c r="U83" s="295"/>
      <c r="V83" s="295"/>
      <c r="W83" s="295"/>
      <c r="X83" s="295"/>
      <c r="Y83" s="295"/>
      <c r="Z83" s="295"/>
      <c r="AA83" s="295"/>
      <c r="AB83" s="295"/>
    </row>
    <row r="84" spans="1:28" s="285" customFormat="1" ht="20" customHeight="1">
      <c r="A84" s="295"/>
      <c r="B84" s="304"/>
      <c r="C84" s="295"/>
      <c r="D84" s="295"/>
      <c r="E84" s="296"/>
      <c r="F84" s="295"/>
      <c r="G84" s="295"/>
      <c r="H84" s="295"/>
      <c r="I84" s="295"/>
      <c r="J84" s="295"/>
      <c r="K84" s="295"/>
      <c r="L84" s="295"/>
      <c r="M84" s="295"/>
      <c r="N84" s="295"/>
      <c r="O84" s="295"/>
      <c r="P84" s="295"/>
      <c r="Q84" s="295"/>
      <c r="R84" s="295"/>
      <c r="S84" s="295"/>
      <c r="T84" s="295"/>
      <c r="U84" s="295"/>
      <c r="V84" s="295"/>
      <c r="W84" s="295"/>
      <c r="X84" s="295"/>
      <c r="Y84" s="295"/>
      <c r="Z84" s="295"/>
      <c r="AA84" s="295"/>
      <c r="AB84" s="295"/>
    </row>
    <row r="85" spans="1:28">
      <c r="A85" s="295"/>
      <c r="B85" s="304"/>
      <c r="C85" s="304"/>
      <c r="D85" s="304"/>
      <c r="E85" s="305"/>
      <c r="F85" s="304"/>
      <c r="G85" s="304"/>
      <c r="H85" s="304"/>
      <c r="I85" s="304"/>
      <c r="J85" s="304"/>
      <c r="K85" s="304"/>
      <c r="L85" s="304"/>
      <c r="M85" s="304"/>
      <c r="N85" s="304"/>
      <c r="O85" s="304"/>
      <c r="P85" s="304"/>
      <c r="Q85" s="304"/>
      <c r="R85" s="304"/>
      <c r="S85" s="304"/>
      <c r="T85" s="304"/>
      <c r="U85" s="304"/>
      <c r="V85" s="304"/>
      <c r="W85" s="304"/>
      <c r="X85" s="304"/>
      <c r="Y85" s="304"/>
      <c r="Z85" s="304"/>
      <c r="AA85" s="304"/>
      <c r="AB85" s="304"/>
    </row>
    <row r="86" spans="1:28">
      <c r="A86" s="295"/>
      <c r="B86" s="304"/>
      <c r="C86" s="304"/>
      <c r="D86" s="304"/>
      <c r="E86" s="305"/>
      <c r="F86" s="304"/>
      <c r="G86" s="304"/>
      <c r="H86" s="304"/>
      <c r="I86" s="304"/>
      <c r="J86" s="304"/>
      <c r="K86" s="304"/>
      <c r="L86" s="304"/>
      <c r="M86" s="304"/>
      <c r="N86" s="304"/>
      <c r="O86" s="304"/>
      <c r="P86" s="304"/>
      <c r="Q86" s="304"/>
      <c r="R86" s="304"/>
      <c r="S86" s="304"/>
      <c r="T86" s="304"/>
      <c r="U86" s="304"/>
      <c r="V86" s="304"/>
      <c r="W86" s="304"/>
      <c r="X86" s="304"/>
      <c r="Y86" s="304"/>
      <c r="Z86" s="304"/>
      <c r="AA86" s="304"/>
      <c r="AB86" s="304"/>
    </row>
    <row r="87" spans="1:28">
      <c r="A87" s="295"/>
      <c r="B87" s="304"/>
      <c r="C87" s="304"/>
      <c r="D87" s="304"/>
      <c r="E87" s="305"/>
      <c r="F87" s="304"/>
      <c r="G87" s="304"/>
      <c r="H87" s="304"/>
      <c r="I87" s="304"/>
      <c r="J87" s="304"/>
      <c r="K87" s="304"/>
      <c r="L87" s="304"/>
      <c r="M87" s="304"/>
      <c r="N87" s="304"/>
      <c r="O87" s="304"/>
      <c r="P87" s="304"/>
      <c r="Q87" s="304"/>
      <c r="R87" s="304"/>
      <c r="S87" s="304"/>
      <c r="T87" s="304"/>
      <c r="U87" s="304"/>
      <c r="V87" s="304"/>
      <c r="W87" s="304"/>
      <c r="X87" s="304"/>
      <c r="Y87" s="304"/>
      <c r="Z87" s="304"/>
      <c r="AA87" s="304"/>
      <c r="AB87" s="304"/>
    </row>
    <row r="88" spans="1:28">
      <c r="A88" s="295"/>
      <c r="B88" s="304"/>
      <c r="C88" s="304"/>
      <c r="D88" s="304"/>
      <c r="E88" s="305"/>
      <c r="F88" s="304"/>
      <c r="G88" s="304"/>
      <c r="H88" s="304"/>
      <c r="I88" s="304"/>
      <c r="J88" s="304"/>
      <c r="K88" s="304"/>
      <c r="L88" s="304"/>
      <c r="M88" s="304"/>
      <c r="N88" s="304"/>
      <c r="O88" s="304"/>
      <c r="P88" s="304"/>
      <c r="Q88" s="304"/>
      <c r="R88" s="304"/>
      <c r="S88" s="304"/>
      <c r="T88" s="304"/>
      <c r="U88" s="304"/>
      <c r="V88" s="304"/>
      <c r="W88" s="304"/>
      <c r="X88" s="304"/>
      <c r="Y88" s="304"/>
      <c r="Z88" s="304"/>
      <c r="AA88" s="304"/>
      <c r="AB88" s="304"/>
    </row>
    <row r="89" spans="1:28">
      <c r="A89" s="295"/>
      <c r="B89" s="304"/>
      <c r="C89" s="304"/>
      <c r="D89" s="304"/>
      <c r="E89" s="305"/>
      <c r="F89" s="304"/>
      <c r="G89" s="304"/>
      <c r="H89" s="304"/>
      <c r="I89" s="304"/>
      <c r="J89" s="304"/>
      <c r="K89" s="304"/>
      <c r="L89" s="304"/>
      <c r="M89" s="304"/>
      <c r="N89" s="304"/>
      <c r="O89" s="304"/>
      <c r="P89" s="304"/>
      <c r="Q89" s="304"/>
      <c r="R89" s="304"/>
      <c r="S89" s="304"/>
      <c r="T89" s="304"/>
      <c r="U89" s="304"/>
      <c r="V89" s="304"/>
      <c r="W89" s="304"/>
      <c r="X89" s="304"/>
      <c r="Y89" s="304"/>
      <c r="Z89" s="304"/>
      <c r="AA89" s="304"/>
      <c r="AB89" s="304"/>
    </row>
    <row r="90" spans="1:28">
      <c r="A90" s="295"/>
      <c r="B90" s="304"/>
      <c r="C90" s="304"/>
      <c r="D90" s="304"/>
      <c r="E90" s="305"/>
      <c r="F90" s="304"/>
      <c r="G90" s="304"/>
      <c r="H90" s="304"/>
      <c r="I90" s="304"/>
      <c r="J90" s="304"/>
      <c r="K90" s="304"/>
      <c r="L90" s="304"/>
      <c r="M90" s="304"/>
      <c r="N90" s="304"/>
      <c r="O90" s="304"/>
      <c r="P90" s="304"/>
      <c r="Q90" s="304"/>
      <c r="R90" s="304"/>
      <c r="S90" s="304"/>
      <c r="T90" s="304"/>
      <c r="U90" s="304"/>
      <c r="V90" s="304"/>
      <c r="W90" s="304"/>
      <c r="X90" s="304"/>
      <c r="Y90" s="304"/>
      <c r="Z90" s="304"/>
      <c r="AA90" s="304"/>
      <c r="AB90" s="304"/>
    </row>
    <row r="91" spans="1:28">
      <c r="A91" s="295"/>
      <c r="B91" s="304"/>
      <c r="C91" s="304"/>
      <c r="D91" s="304"/>
      <c r="E91" s="305"/>
      <c r="F91" s="304"/>
      <c r="G91" s="304"/>
      <c r="H91" s="304"/>
      <c r="I91" s="304"/>
      <c r="J91" s="304"/>
      <c r="K91" s="304"/>
      <c r="L91" s="304"/>
      <c r="M91" s="304"/>
      <c r="N91" s="304"/>
      <c r="O91" s="304"/>
      <c r="P91" s="304"/>
      <c r="Q91" s="304"/>
      <c r="R91" s="304"/>
      <c r="S91" s="304"/>
      <c r="T91" s="304"/>
      <c r="U91" s="304"/>
      <c r="V91" s="304"/>
      <c r="W91" s="304"/>
      <c r="X91" s="304"/>
      <c r="Y91" s="304"/>
      <c r="Z91" s="304"/>
      <c r="AA91" s="304"/>
      <c r="AB91" s="304"/>
    </row>
    <row r="92" spans="1:28">
      <c r="A92" s="295"/>
      <c r="B92" s="304"/>
      <c r="C92" s="304"/>
      <c r="D92" s="304"/>
      <c r="E92" s="305"/>
      <c r="F92" s="304"/>
      <c r="G92" s="304"/>
      <c r="H92" s="304"/>
      <c r="I92" s="304"/>
      <c r="J92" s="304"/>
      <c r="K92" s="304"/>
      <c r="L92" s="304"/>
      <c r="M92" s="304"/>
      <c r="N92" s="304"/>
      <c r="O92" s="304"/>
      <c r="P92" s="304"/>
      <c r="Q92" s="304"/>
      <c r="R92" s="304"/>
      <c r="S92" s="304"/>
      <c r="T92" s="304"/>
      <c r="U92" s="304"/>
      <c r="V92" s="304"/>
      <c r="W92" s="304"/>
      <c r="X92" s="304"/>
      <c r="Y92" s="304"/>
      <c r="Z92" s="304"/>
      <c r="AA92" s="304"/>
      <c r="AB92" s="304"/>
    </row>
    <row r="93" spans="1:28">
      <c r="A93" s="295"/>
      <c r="B93" s="304"/>
      <c r="C93" s="304"/>
      <c r="D93" s="304"/>
      <c r="E93" s="305"/>
      <c r="F93" s="304"/>
      <c r="G93" s="304"/>
      <c r="H93" s="304"/>
      <c r="I93" s="304"/>
      <c r="J93" s="304"/>
      <c r="K93" s="304"/>
      <c r="L93" s="304"/>
      <c r="M93" s="304"/>
      <c r="N93" s="304"/>
      <c r="O93" s="304"/>
      <c r="P93" s="304"/>
      <c r="Q93" s="304"/>
      <c r="R93" s="304"/>
      <c r="S93" s="304"/>
      <c r="T93" s="304"/>
      <c r="U93" s="304"/>
      <c r="V93" s="304"/>
      <c r="W93" s="304"/>
      <c r="X93" s="304"/>
      <c r="Y93" s="304"/>
      <c r="Z93" s="304"/>
      <c r="AA93" s="304"/>
      <c r="AB93" s="304"/>
    </row>
    <row r="94" spans="1:28">
      <c r="A94" s="295"/>
      <c r="B94" s="304"/>
      <c r="C94" s="304"/>
      <c r="D94" s="304"/>
      <c r="E94" s="305"/>
      <c r="F94" s="304"/>
      <c r="G94" s="304"/>
      <c r="H94" s="304"/>
      <c r="I94" s="304"/>
      <c r="J94" s="304"/>
      <c r="K94" s="304"/>
      <c r="L94" s="304"/>
      <c r="M94" s="304"/>
      <c r="N94" s="304"/>
      <c r="O94" s="304"/>
      <c r="P94" s="304"/>
      <c r="Q94" s="304"/>
      <c r="R94" s="304"/>
      <c r="S94" s="304"/>
      <c r="T94" s="304"/>
      <c r="U94" s="304"/>
      <c r="V94" s="304"/>
      <c r="W94" s="304"/>
      <c r="X94" s="304"/>
      <c r="Y94" s="304"/>
      <c r="Z94" s="304"/>
      <c r="AA94" s="304"/>
      <c r="AB94" s="304"/>
    </row>
    <row r="95" spans="1:28">
      <c r="A95" s="295"/>
      <c r="B95" s="304"/>
      <c r="C95" s="304"/>
      <c r="D95" s="304"/>
      <c r="E95" s="305"/>
      <c r="F95" s="304"/>
      <c r="G95" s="304"/>
      <c r="H95" s="304"/>
      <c r="I95" s="304"/>
      <c r="J95" s="304"/>
      <c r="K95" s="304"/>
      <c r="L95" s="304"/>
      <c r="M95" s="304"/>
      <c r="N95" s="304"/>
      <c r="O95" s="304"/>
      <c r="P95" s="304"/>
      <c r="Q95" s="304"/>
      <c r="R95" s="304"/>
      <c r="S95" s="304"/>
      <c r="T95" s="304"/>
      <c r="U95" s="304"/>
      <c r="V95" s="304"/>
      <c r="W95" s="304"/>
      <c r="X95" s="304"/>
      <c r="Y95" s="304"/>
      <c r="Z95" s="304"/>
      <c r="AA95" s="304"/>
      <c r="AB95" s="304"/>
    </row>
    <row r="96" spans="1:28">
      <c r="A96" s="295"/>
      <c r="B96" s="304"/>
      <c r="C96" s="304"/>
      <c r="D96" s="304"/>
      <c r="E96" s="305"/>
      <c r="F96" s="304"/>
      <c r="G96" s="304"/>
      <c r="H96" s="304"/>
      <c r="I96" s="304"/>
      <c r="J96" s="304"/>
      <c r="K96" s="304"/>
      <c r="L96" s="304"/>
      <c r="M96" s="304"/>
      <c r="N96" s="304"/>
      <c r="O96" s="304"/>
      <c r="P96" s="304"/>
      <c r="Q96" s="304"/>
      <c r="R96" s="304"/>
      <c r="S96" s="304"/>
      <c r="T96" s="304"/>
      <c r="U96" s="304"/>
      <c r="V96" s="304"/>
      <c r="W96" s="304"/>
      <c r="X96" s="304"/>
      <c r="Y96" s="304"/>
      <c r="Z96" s="304"/>
      <c r="AA96" s="304"/>
      <c r="AB96" s="304"/>
    </row>
    <row r="97" spans="1:28">
      <c r="A97" s="295"/>
      <c r="B97" s="304"/>
      <c r="C97" s="304"/>
      <c r="D97" s="304"/>
      <c r="E97" s="305"/>
      <c r="F97" s="304"/>
      <c r="G97" s="304"/>
      <c r="H97" s="304"/>
      <c r="I97" s="304"/>
      <c r="J97" s="304"/>
      <c r="K97" s="304"/>
      <c r="L97" s="304"/>
      <c r="M97" s="304"/>
      <c r="N97" s="304"/>
      <c r="O97" s="304"/>
      <c r="P97" s="304"/>
      <c r="Q97" s="304"/>
      <c r="R97" s="304"/>
      <c r="S97" s="304"/>
      <c r="T97" s="304"/>
      <c r="U97" s="304"/>
      <c r="V97" s="304"/>
      <c r="W97" s="304"/>
      <c r="X97" s="304"/>
      <c r="Y97" s="304"/>
      <c r="Z97" s="304"/>
      <c r="AA97" s="304"/>
      <c r="AB97" s="304"/>
    </row>
    <row r="98" spans="1:28">
      <c r="A98" s="295"/>
      <c r="B98" s="304"/>
      <c r="C98" s="304"/>
      <c r="D98" s="304"/>
      <c r="E98" s="305"/>
      <c r="F98" s="304"/>
      <c r="G98" s="304"/>
      <c r="H98" s="304"/>
      <c r="I98" s="304"/>
      <c r="J98" s="304"/>
      <c r="K98" s="304"/>
      <c r="L98" s="304"/>
      <c r="M98" s="304"/>
      <c r="N98" s="304"/>
      <c r="O98" s="304"/>
      <c r="P98" s="304"/>
      <c r="Q98" s="304"/>
      <c r="R98" s="304"/>
      <c r="S98" s="304"/>
      <c r="T98" s="304"/>
      <c r="U98" s="304"/>
      <c r="V98" s="304"/>
      <c r="W98" s="304"/>
      <c r="X98" s="304"/>
      <c r="Y98" s="304"/>
      <c r="Z98" s="304"/>
      <c r="AA98" s="304"/>
      <c r="AB98" s="304"/>
    </row>
    <row r="99" spans="1:28">
      <c r="A99" s="295"/>
      <c r="B99" s="304"/>
      <c r="C99" s="304"/>
      <c r="D99" s="304"/>
      <c r="E99" s="305"/>
      <c r="F99" s="304"/>
      <c r="G99" s="304"/>
      <c r="H99" s="304"/>
      <c r="I99" s="304"/>
      <c r="J99" s="304"/>
      <c r="K99" s="304"/>
      <c r="L99" s="304"/>
      <c r="M99" s="304"/>
      <c r="N99" s="304"/>
      <c r="O99" s="304"/>
      <c r="P99" s="304"/>
      <c r="Q99" s="304"/>
      <c r="R99" s="304"/>
      <c r="S99" s="304"/>
      <c r="T99" s="304"/>
      <c r="U99" s="304"/>
      <c r="V99" s="304"/>
      <c r="W99" s="304"/>
      <c r="X99" s="304"/>
      <c r="Y99" s="304"/>
      <c r="Z99" s="304"/>
      <c r="AA99" s="304"/>
      <c r="AB99" s="304"/>
    </row>
    <row r="100" spans="1:28">
      <c r="A100" s="295"/>
      <c r="B100" s="304"/>
      <c r="C100" s="304"/>
      <c r="D100" s="304"/>
      <c r="E100" s="305"/>
      <c r="F100" s="304"/>
      <c r="G100" s="304"/>
      <c r="H100" s="304"/>
      <c r="I100" s="304"/>
      <c r="J100" s="304"/>
      <c r="K100" s="304"/>
      <c r="L100" s="304"/>
      <c r="M100" s="304"/>
      <c r="N100" s="304"/>
      <c r="O100" s="304"/>
      <c r="P100" s="304"/>
      <c r="Q100" s="304"/>
      <c r="R100" s="304"/>
      <c r="S100" s="304"/>
      <c r="T100" s="304"/>
      <c r="U100" s="304"/>
      <c r="V100" s="304"/>
      <c r="W100" s="304"/>
      <c r="X100" s="304"/>
      <c r="Y100" s="304"/>
      <c r="Z100" s="304"/>
      <c r="AA100" s="304"/>
      <c r="AB100" s="304"/>
    </row>
    <row r="101" spans="1:28">
      <c r="A101" s="295"/>
      <c r="B101" s="304"/>
      <c r="C101" s="304"/>
      <c r="D101" s="304"/>
      <c r="E101" s="305"/>
      <c r="F101" s="304"/>
      <c r="G101" s="304"/>
      <c r="H101" s="304"/>
      <c r="I101" s="304"/>
      <c r="J101" s="304"/>
      <c r="K101" s="304"/>
      <c r="L101" s="304"/>
      <c r="M101" s="304"/>
      <c r="N101" s="304"/>
      <c r="O101" s="304"/>
      <c r="P101" s="304"/>
      <c r="Q101" s="304"/>
      <c r="R101" s="304"/>
      <c r="S101" s="304"/>
      <c r="T101" s="304"/>
      <c r="U101" s="304"/>
      <c r="V101" s="304"/>
      <c r="W101" s="304"/>
      <c r="X101" s="304"/>
      <c r="Y101" s="304"/>
      <c r="Z101" s="304"/>
      <c r="AA101" s="304"/>
      <c r="AB101" s="304"/>
    </row>
  </sheetData>
  <mergeCells count="6">
    <mergeCell ref="F76:I76"/>
    <mergeCell ref="E6:F6"/>
    <mergeCell ref="H18:J18"/>
    <mergeCell ref="E68:F68"/>
    <mergeCell ref="E42:F42"/>
    <mergeCell ref="H19:J19"/>
  </mergeCells>
  <phoneticPr fontId="66" type="noConversion"/>
  <conditionalFormatting sqref="E53 E55 E57 E29 E31 E33">
    <cfRule type="expression" dxfId="4" priority="8" stopIfTrue="1">
      <formula>$F$76&lt;0</formula>
    </cfRule>
  </conditionalFormatting>
  <dataValidations count="3">
    <dataValidation type="list" errorStyle="information" allowBlank="1" showInputMessage="1" showErrorMessage="1" error="List contains industry standard sizes" prompt="Please select antenna size_x000a_User defined at bottom of list" sqref="E7" xr:uid="{00000000-0002-0000-0200-000000000000}">
      <formula1>$V$3:$V$12</formula1>
    </dataValidation>
    <dataValidation type="list" allowBlank="1" showInputMessage="1" showErrorMessage="1" prompt="Select transponder bandwidth in MHz" sqref="E9:E11" xr:uid="{00000000-0002-0000-0200-000001000000}">
      <formula1>$U$3:$U$8</formula1>
    </dataValidation>
    <dataValidation type="list" allowBlank="1" showInputMessage="1" showErrorMessage="1" prompt="Select yearly link availability in %" sqref="E15" xr:uid="{00000000-0002-0000-0200-000002000000}">
      <formula1>$T$3:$T$10</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FD166-F72F-4136-A813-CF3D9B7025CF}">
  <sheetPr codeName="Sheet14">
    <tabColor theme="2" tint="-0.499984740745262"/>
  </sheetPr>
  <dimension ref="A1:AH47"/>
  <sheetViews>
    <sheetView tabSelected="1" zoomScaleNormal="100" workbookViewId="0">
      <selection activeCell="A2" sqref="A2"/>
    </sheetView>
  </sheetViews>
  <sheetFormatPr baseColWidth="10" defaultColWidth="8.83203125" defaultRowHeight="13"/>
  <cols>
    <col min="1" max="1" width="34.6640625" customWidth="1"/>
    <col min="2" max="2" width="11.5" customWidth="1"/>
    <col min="3" max="3" width="12.6640625" customWidth="1"/>
    <col min="4" max="4" width="13.33203125" customWidth="1"/>
    <col min="5" max="5" width="9.1640625" customWidth="1"/>
    <col min="8" max="8" width="10.1640625" customWidth="1"/>
    <col min="10" max="10" width="12.83203125" customWidth="1"/>
    <col min="11" max="11" width="10.6640625" bestFit="1" customWidth="1"/>
  </cols>
  <sheetData>
    <row r="1" spans="1:34" ht="17" thickBot="1">
      <c r="A1" s="721" t="s">
        <v>714</v>
      </c>
      <c r="B1" s="923" t="s">
        <v>642</v>
      </c>
      <c r="C1" s="842" t="s">
        <v>140</v>
      </c>
      <c r="D1" s="15"/>
      <c r="E1" s="15"/>
      <c r="F1" s="15"/>
      <c r="G1" s="722"/>
      <c r="H1" s="15"/>
      <c r="I1" s="15"/>
      <c r="J1" s="840" t="s">
        <v>742</v>
      </c>
      <c r="K1" s="15"/>
      <c r="L1" s="15"/>
      <c r="M1" s="15"/>
      <c r="N1" s="15"/>
      <c r="O1" s="15"/>
      <c r="P1" s="15"/>
      <c r="Q1" s="15"/>
      <c r="R1" s="15"/>
      <c r="S1" s="15"/>
      <c r="T1" s="15"/>
      <c r="U1" s="15"/>
      <c r="V1" s="15"/>
      <c r="W1" s="15"/>
      <c r="X1" s="15"/>
      <c r="Y1" s="15"/>
      <c r="Z1" s="15"/>
      <c r="AA1" s="15"/>
      <c r="AB1" s="15"/>
      <c r="AC1" s="15"/>
      <c r="AD1" s="15"/>
      <c r="AE1" s="15"/>
      <c r="AF1" s="15"/>
      <c r="AG1" s="15"/>
      <c r="AH1" s="15"/>
    </row>
    <row r="2" spans="1:34" ht="16">
      <c r="A2" s="723" t="s">
        <v>684</v>
      </c>
      <c r="B2" s="724"/>
      <c r="C2" s="724"/>
      <c r="D2" s="725"/>
      <c r="E2" s="726"/>
      <c r="F2" s="726"/>
      <c r="G2" s="726"/>
      <c r="H2" s="726"/>
      <c r="I2" s="726"/>
      <c r="J2" s="726"/>
      <c r="K2" s="726"/>
      <c r="L2" s="726"/>
      <c r="M2" s="727"/>
      <c r="N2" s="2"/>
      <c r="O2" s="2"/>
      <c r="P2" s="2"/>
      <c r="Q2" s="2"/>
      <c r="R2" s="896"/>
      <c r="S2" s="897"/>
      <c r="T2" s="897"/>
      <c r="U2" s="897"/>
      <c r="V2" s="897"/>
      <c r="W2" s="897"/>
      <c r="X2" s="897"/>
      <c r="Y2" s="897"/>
      <c r="Z2" s="897"/>
      <c r="AA2" s="897"/>
      <c r="AB2" s="897"/>
      <c r="AC2" s="897"/>
      <c r="AD2" s="898"/>
      <c r="AE2" s="2"/>
      <c r="AF2" s="2"/>
      <c r="AG2" s="2"/>
      <c r="AH2" s="2"/>
    </row>
    <row r="3" spans="1:34" ht="14" thickBot="1">
      <c r="A3" s="3" t="s">
        <v>685</v>
      </c>
      <c r="B3" s="3"/>
      <c r="C3" s="3"/>
      <c r="D3" s="728"/>
      <c r="E3" s="729"/>
      <c r="F3" s="729"/>
      <c r="G3" s="729"/>
      <c r="H3" s="729"/>
      <c r="I3" s="729"/>
      <c r="J3" s="729"/>
      <c r="K3" s="729"/>
      <c r="L3" s="729"/>
      <c r="M3" s="730"/>
      <c r="N3" s="2"/>
      <c r="O3" s="2"/>
      <c r="P3" s="2"/>
      <c r="Q3" s="2"/>
      <c r="R3" s="899"/>
      <c r="S3" s="910" t="s">
        <v>768</v>
      </c>
      <c r="T3" s="1"/>
      <c r="U3" s="1"/>
      <c r="V3" s="1"/>
      <c r="W3" s="1"/>
      <c r="X3" s="1"/>
      <c r="Y3" s="1"/>
      <c r="Z3" s="1"/>
      <c r="AA3" s="1"/>
      <c r="AB3" s="1"/>
      <c r="AC3" s="1"/>
      <c r="AD3" s="900"/>
      <c r="AE3" s="2"/>
      <c r="AF3" s="2"/>
      <c r="AG3" s="2"/>
      <c r="AH3" s="2"/>
    </row>
    <row r="4" spans="1:34" ht="17" thickBot="1">
      <c r="A4" s="8" t="s">
        <v>4</v>
      </c>
      <c r="B4" s="9" t="s">
        <v>5</v>
      </c>
      <c r="C4" s="9" t="s">
        <v>6</v>
      </c>
      <c r="D4" s="728"/>
      <c r="E4" s="729"/>
      <c r="F4" s="729"/>
      <c r="G4" s="729"/>
      <c r="H4" s="729"/>
      <c r="I4" s="729"/>
      <c r="J4" s="729"/>
      <c r="K4" s="729"/>
      <c r="L4" s="729"/>
      <c r="M4" s="730"/>
      <c r="N4" s="2"/>
      <c r="O4" s="2"/>
      <c r="P4" s="2"/>
      <c r="Q4" s="2"/>
      <c r="R4" s="899"/>
      <c r="S4" s="1"/>
      <c r="T4" s="909" t="e">
        <f ca="1">'3-Link Scenario Planner'!$E$67</f>
        <v>#NAME?</v>
      </c>
      <c r="U4" s="347" t="s">
        <v>57</v>
      </c>
      <c r="V4" s="1"/>
      <c r="W4" s="1"/>
      <c r="X4" s="1"/>
      <c r="Y4" s="1"/>
      <c r="Z4" s="1"/>
      <c r="AA4" s="347" t="s">
        <v>759</v>
      </c>
      <c r="AB4" s="1"/>
      <c r="AC4" s="1"/>
      <c r="AD4" s="900"/>
      <c r="AE4" s="2"/>
      <c r="AF4" s="2"/>
      <c r="AG4" s="2"/>
      <c r="AH4" s="2"/>
    </row>
    <row r="5" spans="1:34">
      <c r="A5" s="731" t="s">
        <v>7</v>
      </c>
      <c r="B5" s="732">
        <v>6378.1369999999997</v>
      </c>
      <c r="C5" s="731" t="s">
        <v>8</v>
      </c>
      <c r="D5" s="728"/>
      <c r="E5" s="729"/>
      <c r="F5" s="729"/>
      <c r="G5" s="729"/>
      <c r="H5" s="729"/>
      <c r="I5" s="729"/>
      <c r="J5" s="729"/>
      <c r="K5" s="729"/>
      <c r="L5" s="729"/>
      <c r="M5" s="730"/>
      <c r="N5" s="2"/>
      <c r="O5" s="2"/>
      <c r="P5" s="2"/>
      <c r="Q5" s="2"/>
      <c r="R5" s="899"/>
      <c r="S5" s="1"/>
      <c r="T5" s="1"/>
      <c r="U5" s="1"/>
      <c r="V5" s="1"/>
      <c r="W5" s="1"/>
      <c r="X5" s="1"/>
      <c r="Y5" s="1"/>
      <c r="Z5" s="1"/>
      <c r="AA5" s="347"/>
      <c r="AB5" s="904">
        <f>'4A-Orbit'!$K$30</f>
        <v>17.400982397943835</v>
      </c>
      <c r="AC5" s="787" t="s">
        <v>173</v>
      </c>
      <c r="AD5" s="900"/>
      <c r="AE5" s="2"/>
      <c r="AF5" s="2"/>
      <c r="AG5" s="2"/>
      <c r="AH5" s="2"/>
    </row>
    <row r="6" spans="1:34" ht="14" thickBot="1">
      <c r="A6" s="731" t="s">
        <v>686</v>
      </c>
      <c r="B6" s="733">
        <v>35786</v>
      </c>
      <c r="C6" s="731" t="s">
        <v>8</v>
      </c>
      <c r="D6" s="728"/>
      <c r="E6" s="729"/>
      <c r="F6" s="729"/>
      <c r="G6" s="729"/>
      <c r="H6" s="729"/>
      <c r="I6" s="729"/>
      <c r="J6" s="729"/>
      <c r="K6" s="729"/>
      <c r="L6" s="729"/>
      <c r="M6" s="730"/>
      <c r="N6" s="2"/>
      <c r="O6" s="2"/>
      <c r="P6" s="2"/>
      <c r="Q6" s="2"/>
      <c r="R6" s="899"/>
      <c r="S6" s="50" t="s">
        <v>767</v>
      </c>
      <c r="T6" s="1"/>
      <c r="U6" s="1"/>
      <c r="V6" s="1"/>
      <c r="W6" s="1"/>
      <c r="X6" s="1"/>
      <c r="Y6" s="1"/>
      <c r="Z6" s="1"/>
      <c r="AA6" s="1"/>
      <c r="AB6" s="1"/>
      <c r="AC6" s="1"/>
      <c r="AD6" s="900"/>
      <c r="AE6" s="2"/>
      <c r="AF6" s="2"/>
      <c r="AG6" s="2"/>
      <c r="AH6" s="2"/>
    </row>
    <row r="7" spans="1:34" ht="17" thickBot="1">
      <c r="A7" s="731" t="s">
        <v>687</v>
      </c>
      <c r="B7" s="734">
        <v>1250</v>
      </c>
      <c r="C7" s="731" t="s">
        <v>8</v>
      </c>
      <c r="D7" s="728"/>
      <c r="E7" s="729"/>
      <c r="F7" s="729"/>
      <c r="G7" s="729"/>
      <c r="H7" s="729"/>
      <c r="I7" s="729"/>
      <c r="J7" s="729"/>
      <c r="K7" s="729"/>
      <c r="L7" s="729"/>
      <c r="M7" s="730"/>
      <c r="N7" s="2"/>
      <c r="O7" s="2"/>
      <c r="P7" s="2"/>
      <c r="Q7" s="2"/>
      <c r="R7" s="899"/>
      <c r="S7" s="1"/>
      <c r="T7" s="908" t="e">
        <f ca="1">'3-Link Scenario Planner'!$E$41</f>
        <v>#NAME?</v>
      </c>
      <c r="U7" s="347" t="s">
        <v>57</v>
      </c>
      <c r="V7" s="1"/>
      <c r="W7" s="1"/>
      <c r="X7" s="1"/>
      <c r="Y7" s="1"/>
      <c r="Z7" s="1"/>
      <c r="AA7" s="347" t="s">
        <v>775</v>
      </c>
      <c r="AB7" s="1"/>
      <c r="AC7" s="1"/>
      <c r="AD7" s="900"/>
      <c r="AE7" s="2"/>
      <c r="AF7" s="2"/>
      <c r="AG7" s="2"/>
      <c r="AH7" s="2"/>
    </row>
    <row r="8" spans="1:34">
      <c r="A8" s="2" t="s">
        <v>9</v>
      </c>
      <c r="B8" s="732">
        <f>(B6+B7+2*B5)/2</f>
        <v>24896.136999999999</v>
      </c>
      <c r="C8" s="2" t="s">
        <v>8</v>
      </c>
      <c r="D8" s="728"/>
      <c r="E8" s="729"/>
      <c r="F8" s="729"/>
      <c r="G8" s="729"/>
      <c r="H8" s="729"/>
      <c r="I8" s="729"/>
      <c r="J8" s="729"/>
      <c r="K8" s="729"/>
      <c r="L8" s="729"/>
      <c r="M8" s="730"/>
      <c r="N8" s="2"/>
      <c r="O8" s="2"/>
      <c r="P8" s="2"/>
      <c r="Q8" s="2"/>
      <c r="R8" s="899"/>
      <c r="S8" s="1"/>
      <c r="T8" s="1"/>
      <c r="U8" s="1"/>
      <c r="V8" s="1"/>
      <c r="W8" s="1"/>
      <c r="X8" s="1"/>
      <c r="Y8" s="1"/>
      <c r="Z8" s="1"/>
      <c r="AA8" s="347"/>
      <c r="AB8" s="904">
        <f>'4A-Orbit'!$K$32</f>
        <v>8.7004911989719176</v>
      </c>
      <c r="AC8" s="787" t="s">
        <v>173</v>
      </c>
      <c r="AD8" s="900"/>
      <c r="AE8" s="2"/>
      <c r="AF8" s="2"/>
      <c r="AG8" s="2"/>
      <c r="AH8" s="2"/>
    </row>
    <row r="9" spans="1:34">
      <c r="A9" s="2" t="s">
        <v>10</v>
      </c>
      <c r="B9" s="735">
        <f>((B6+B5)-(B7+B5))/((B6+B5)+(B7+B5))</f>
        <v>0.69360158164296726</v>
      </c>
      <c r="C9" s="2"/>
      <c r="D9" s="728"/>
      <c r="E9" s="729"/>
      <c r="F9" s="729"/>
      <c r="G9" s="729"/>
      <c r="H9" s="729"/>
      <c r="I9" s="729"/>
      <c r="J9" s="729"/>
      <c r="K9" s="729"/>
      <c r="L9" s="729"/>
      <c r="M9" s="730"/>
      <c r="N9" s="2"/>
      <c r="O9" s="2"/>
      <c r="P9" s="2"/>
      <c r="Q9" s="2"/>
      <c r="R9" s="899"/>
      <c r="S9" s="1"/>
      <c r="T9" s="1"/>
      <c r="U9" s="1"/>
      <c r="V9" s="1"/>
      <c r="W9" s="1"/>
      <c r="X9" s="1"/>
      <c r="Y9" s="1"/>
      <c r="Z9" s="1"/>
      <c r="AA9" s="1"/>
      <c r="AB9" s="1"/>
      <c r="AC9" s="1"/>
      <c r="AD9" s="900"/>
      <c r="AE9" s="2"/>
      <c r="AF9" s="2"/>
      <c r="AG9" s="2"/>
      <c r="AH9" s="2"/>
    </row>
    <row r="10" spans="1:34" ht="16">
      <c r="A10" s="2" t="s">
        <v>688</v>
      </c>
      <c r="B10" s="736">
        <v>7</v>
      </c>
      <c r="C10" s="2" t="s">
        <v>11</v>
      </c>
      <c r="D10" s="728"/>
      <c r="E10" s="729"/>
      <c r="F10" s="729"/>
      <c r="G10" s="729"/>
      <c r="H10" s="729"/>
      <c r="I10" s="729"/>
      <c r="J10" s="729"/>
      <c r="K10" s="729"/>
      <c r="L10" s="729"/>
      <c r="M10" s="730"/>
      <c r="N10" s="2"/>
      <c r="O10" s="2"/>
      <c r="P10" s="2"/>
      <c r="Q10" s="2"/>
      <c r="R10" s="899"/>
      <c r="S10" s="1"/>
      <c r="T10" s="1"/>
      <c r="U10" s="1"/>
      <c r="V10" s="1"/>
      <c r="W10" s="1"/>
      <c r="X10" s="1"/>
      <c r="Y10" s="1"/>
      <c r="Z10" s="1"/>
      <c r="AA10" s="347" t="s">
        <v>776</v>
      </c>
      <c r="AB10" s="1"/>
      <c r="AC10" s="1"/>
      <c r="AD10" s="900"/>
      <c r="AE10" s="2"/>
      <c r="AF10" s="2"/>
      <c r="AG10" s="2"/>
      <c r="AH10" s="2"/>
    </row>
    <row r="11" spans="1:34">
      <c r="A11" s="2" t="s">
        <v>689</v>
      </c>
      <c r="B11" s="737">
        <v>180</v>
      </c>
      <c r="C11" s="2" t="s">
        <v>11</v>
      </c>
      <c r="D11" s="728"/>
      <c r="E11" s="729"/>
      <c r="F11" s="729"/>
      <c r="G11" s="729"/>
      <c r="H11" s="729"/>
      <c r="I11" s="729"/>
      <c r="J11" s="729"/>
      <c r="K11" s="729"/>
      <c r="L11" s="729"/>
      <c r="M11" s="730"/>
      <c r="N11" s="2"/>
      <c r="O11" s="2"/>
      <c r="P11" s="2"/>
      <c r="Q11" s="2"/>
      <c r="R11" s="899"/>
      <c r="S11" s="1"/>
      <c r="T11" s="1"/>
      <c r="U11" s="1"/>
      <c r="V11" s="1"/>
      <c r="W11" s="1"/>
      <c r="X11" s="1"/>
      <c r="Y11" s="1"/>
      <c r="Z11" s="1"/>
      <c r="AA11" s="347"/>
      <c r="AB11" s="907">
        <f>'4A-Orbit'!$K$31</f>
        <v>0</v>
      </c>
      <c r="AC11" s="787" t="s">
        <v>173</v>
      </c>
      <c r="AD11" s="900"/>
      <c r="AE11" s="2"/>
      <c r="AF11" s="2"/>
      <c r="AG11" s="2"/>
      <c r="AH11" s="2"/>
    </row>
    <row r="12" spans="1:34">
      <c r="A12" s="2" t="s">
        <v>690</v>
      </c>
      <c r="B12" s="738">
        <v>0</v>
      </c>
      <c r="C12" s="2" t="s">
        <v>11</v>
      </c>
      <c r="D12" s="728"/>
      <c r="E12" s="729"/>
      <c r="F12" s="729"/>
      <c r="G12" s="729"/>
      <c r="H12" s="729"/>
      <c r="I12" s="729"/>
      <c r="J12" s="729"/>
      <c r="K12" s="729"/>
      <c r="L12" s="729"/>
      <c r="M12" s="730"/>
      <c r="N12" s="2"/>
      <c r="O12" s="2"/>
      <c r="P12" s="2"/>
      <c r="Q12" s="2"/>
      <c r="R12" s="899"/>
      <c r="S12" s="1"/>
      <c r="T12" s="1"/>
      <c r="U12" s="1"/>
      <c r="V12" s="1"/>
      <c r="W12" s="1"/>
      <c r="X12" s="1"/>
      <c r="Y12" s="1"/>
      <c r="Z12" s="1"/>
      <c r="AA12" s="1"/>
      <c r="AB12" s="1"/>
      <c r="AC12" s="1"/>
      <c r="AD12" s="900"/>
      <c r="AE12" s="2"/>
      <c r="AF12" s="2"/>
      <c r="AG12" s="2"/>
      <c r="AH12" s="2"/>
    </row>
    <row r="13" spans="1:34" ht="16">
      <c r="A13" s="2" t="s">
        <v>12</v>
      </c>
      <c r="B13" s="739">
        <f>INDEX(C28:C41,B26,1)</f>
        <v>179.99999</v>
      </c>
      <c r="C13" s="2" t="s">
        <v>11</v>
      </c>
      <c r="D13" s="728"/>
      <c r="E13" s="729"/>
      <c r="F13" s="729"/>
      <c r="G13" s="729"/>
      <c r="H13" s="729"/>
      <c r="I13" s="729"/>
      <c r="J13" s="729"/>
      <c r="K13" s="729"/>
      <c r="L13" s="729"/>
      <c r="M13" s="730"/>
      <c r="N13" s="2"/>
      <c r="O13" s="2"/>
      <c r="P13" s="2"/>
      <c r="Q13" s="2"/>
      <c r="R13" s="899"/>
      <c r="S13" s="1"/>
      <c r="T13" s="1"/>
      <c r="U13" s="1"/>
      <c r="V13" s="1"/>
      <c r="W13" s="1"/>
      <c r="X13" s="1"/>
      <c r="Y13" s="1"/>
      <c r="Z13" s="1"/>
      <c r="AA13" s="347" t="s">
        <v>777</v>
      </c>
      <c r="AB13" s="1"/>
      <c r="AC13" s="1"/>
      <c r="AD13" s="900"/>
      <c r="AE13" s="2"/>
      <c r="AF13" s="2"/>
      <c r="AG13" s="2"/>
      <c r="AH13" s="2"/>
    </row>
    <row r="14" spans="1:34" ht="16">
      <c r="A14" s="2" t="s">
        <v>13</v>
      </c>
      <c r="B14" s="740">
        <f xml:space="preserve"> 84.4892*((B8/B5)^1.5)</f>
        <v>651.56594987514529</v>
      </c>
      <c r="C14" s="2" t="s">
        <v>14</v>
      </c>
      <c r="D14" s="728"/>
      <c r="E14" s="729"/>
      <c r="F14" s="729"/>
      <c r="G14" s="729"/>
      <c r="H14" s="729"/>
      <c r="I14" s="729"/>
      <c r="J14" s="729"/>
      <c r="K14" s="729"/>
      <c r="L14" s="729"/>
      <c r="M14" s="730"/>
      <c r="N14" s="2"/>
      <c r="O14" s="2"/>
      <c r="P14" s="2"/>
      <c r="Q14" s="2"/>
      <c r="R14" s="899"/>
      <c r="S14" s="920" t="s">
        <v>774</v>
      </c>
      <c r="T14" s="1"/>
      <c r="U14" s="1"/>
      <c r="V14" s="1"/>
      <c r="W14" s="1"/>
      <c r="X14" s="1"/>
      <c r="Y14" s="1"/>
      <c r="Z14" s="1"/>
      <c r="AA14" s="347"/>
      <c r="AB14" s="907">
        <f>'4A-Orbit'!$K$33</f>
        <v>8.1720821540584971</v>
      </c>
      <c r="AC14" s="787" t="s">
        <v>173</v>
      </c>
      <c r="AD14" s="900"/>
      <c r="AE14" s="2"/>
      <c r="AF14" s="2"/>
      <c r="AG14" s="2"/>
      <c r="AH14" s="2"/>
    </row>
    <row r="15" spans="1:34">
      <c r="A15" s="2" t="s">
        <v>691</v>
      </c>
      <c r="B15" s="741">
        <f>19.919482*((B5/B8)^3.5)*(1-1.25*((SIN(B10/57.29578))^2))/((1-B9^2)^2)</f>
        <v>0.61788911049574247</v>
      </c>
      <c r="C15" s="2" t="s">
        <v>15</v>
      </c>
      <c r="D15" s="728"/>
      <c r="E15" s="729"/>
      <c r="F15" s="729"/>
      <c r="G15" s="729"/>
      <c r="H15" s="729"/>
      <c r="I15" s="729"/>
      <c r="J15" s="729"/>
      <c r="K15" s="729"/>
      <c r="L15" s="729"/>
      <c r="M15" s="730"/>
      <c r="N15" s="2"/>
      <c r="O15" s="2" t="s">
        <v>3</v>
      </c>
      <c r="P15" s="2"/>
      <c r="Q15" s="2"/>
      <c r="R15" s="899"/>
      <c r="S15" s="1"/>
      <c r="T15" s="1"/>
      <c r="U15" s="1"/>
      <c r="V15" s="1"/>
      <c r="W15" s="1"/>
      <c r="X15" s="1"/>
      <c r="Y15" s="1"/>
      <c r="Z15" s="1"/>
      <c r="AA15" s="1"/>
      <c r="AB15" s="1"/>
      <c r="AC15" s="1"/>
      <c r="AD15" s="900"/>
      <c r="AE15" s="2"/>
      <c r="AF15" s="2"/>
      <c r="AG15" s="2"/>
      <c r="AH15" s="2"/>
    </row>
    <row r="16" spans="1:34" ht="16">
      <c r="A16" s="2" t="s">
        <v>692</v>
      </c>
      <c r="B16" s="741">
        <f>(-9.9597408/(1-B9^2)^2)*((B5/B8)^3.5)*COS(B10/57.29578)</f>
        <v>-0.31244226730962865</v>
      </c>
      <c r="C16" s="2" t="s">
        <v>15</v>
      </c>
      <c r="D16" s="728"/>
      <c r="E16" s="729"/>
      <c r="F16" s="729"/>
      <c r="G16" s="729"/>
      <c r="H16" s="729"/>
      <c r="I16" s="729"/>
      <c r="J16" s="729"/>
      <c r="K16" s="729"/>
      <c r="L16" s="729"/>
      <c r="M16" s="730"/>
      <c r="N16" s="2"/>
      <c r="O16" s="2"/>
      <c r="P16" s="2"/>
      <c r="Q16" s="2"/>
      <c r="R16" s="899"/>
      <c r="S16" s="1"/>
      <c r="T16" s="1"/>
      <c r="U16" s="1"/>
      <c r="V16" s="1"/>
      <c r="W16" s="1"/>
      <c r="X16" s="1"/>
      <c r="Y16" s="1"/>
      <c r="Z16" s="1"/>
      <c r="AA16" s="347" t="s">
        <v>760</v>
      </c>
      <c r="AB16" s="1"/>
      <c r="AC16" s="1"/>
      <c r="AD16" s="900"/>
      <c r="AE16" s="2"/>
      <c r="AF16" s="2"/>
      <c r="AG16" s="2"/>
      <c r="AH16" s="2"/>
    </row>
    <row r="17" spans="1:34">
      <c r="A17" s="2"/>
      <c r="B17" s="11"/>
      <c r="C17" s="2"/>
      <c r="D17" s="728"/>
      <c r="E17" s="729"/>
      <c r="F17" s="729"/>
      <c r="G17" s="729"/>
      <c r="H17" s="729"/>
      <c r="I17" s="729"/>
      <c r="J17" s="729"/>
      <c r="K17" s="729"/>
      <c r="L17" s="729"/>
      <c r="M17" s="730"/>
      <c r="N17" s="2"/>
      <c r="O17" s="2"/>
      <c r="P17" s="2"/>
      <c r="Q17" s="2"/>
      <c r="R17" s="899"/>
      <c r="S17" s="1"/>
      <c r="T17" s="1"/>
      <c r="U17" s="1"/>
      <c r="V17" s="1"/>
      <c r="W17" s="1"/>
      <c r="X17" s="1"/>
      <c r="Y17" s="1"/>
      <c r="Z17" s="1"/>
      <c r="AA17" s="347"/>
      <c r="AB17" s="904">
        <f>'4A-Orbit'!$G$26</f>
        <v>20</v>
      </c>
      <c r="AC17" s="787" t="s">
        <v>173</v>
      </c>
      <c r="AD17" s="900"/>
      <c r="AE17" s="2"/>
      <c r="AF17" s="2"/>
      <c r="AG17" s="2"/>
      <c r="AH17" s="2"/>
    </row>
    <row r="18" spans="1:34">
      <c r="A18" s="2"/>
      <c r="B18" s="11" t="s">
        <v>3</v>
      </c>
      <c r="C18" s="2"/>
      <c r="D18" s="728"/>
      <c r="E18" s="729"/>
      <c r="F18" s="729"/>
      <c r="G18" s="729"/>
      <c r="H18" s="729"/>
      <c r="I18" s="729"/>
      <c r="J18" s="729"/>
      <c r="K18" s="729"/>
      <c r="L18" s="729"/>
      <c r="M18" s="730"/>
      <c r="N18" s="2"/>
      <c r="O18" s="2"/>
      <c r="P18" s="593" t="s">
        <v>3</v>
      </c>
      <c r="Q18" s="2"/>
      <c r="R18" s="899"/>
      <c r="S18" s="1"/>
      <c r="T18" s="1"/>
      <c r="U18" s="1"/>
      <c r="V18" s="1"/>
      <c r="W18" s="1"/>
      <c r="X18" s="1"/>
      <c r="Y18" s="1"/>
      <c r="Z18" s="1"/>
      <c r="AA18" s="347"/>
      <c r="AB18" s="1"/>
      <c r="AC18" s="1"/>
      <c r="AD18" s="900"/>
      <c r="AE18" s="2"/>
      <c r="AF18" s="2"/>
      <c r="AG18" s="2"/>
      <c r="AH18" s="2"/>
    </row>
    <row r="19" spans="1:34" ht="16">
      <c r="A19" s="2"/>
      <c r="B19" s="11"/>
      <c r="C19" s="2"/>
      <c r="D19" s="728"/>
      <c r="E19" s="729"/>
      <c r="F19" s="729"/>
      <c r="G19" s="729"/>
      <c r="H19" s="729"/>
      <c r="I19" s="729"/>
      <c r="J19" s="729"/>
      <c r="K19" s="729"/>
      <c r="L19" s="729"/>
      <c r="M19" s="730"/>
      <c r="N19" s="2"/>
      <c r="O19" s="2"/>
      <c r="P19" s="2"/>
      <c r="Q19" s="2"/>
      <c r="R19" s="899"/>
      <c r="S19" s="1"/>
      <c r="T19" s="1"/>
      <c r="U19" s="1"/>
      <c r="V19" s="1"/>
      <c r="W19" s="1"/>
      <c r="X19" s="1"/>
      <c r="Y19" s="1"/>
      <c r="Z19" s="1"/>
      <c r="AA19" s="912" t="s">
        <v>772</v>
      </c>
      <c r="AB19" s="1"/>
      <c r="AC19" s="1"/>
      <c r="AD19" s="900"/>
      <c r="AE19" s="2"/>
      <c r="AF19" s="2"/>
      <c r="AG19" s="2"/>
      <c r="AH19" s="2"/>
    </row>
    <row r="20" spans="1:34">
      <c r="A20" s="2"/>
      <c r="B20" s="11"/>
      <c r="C20" s="2"/>
      <c r="D20" s="728"/>
      <c r="E20" s="729"/>
      <c r="F20" s="729"/>
      <c r="G20" s="729"/>
      <c r="H20" s="729"/>
      <c r="I20" s="729"/>
      <c r="J20" s="729"/>
      <c r="K20" s="729"/>
      <c r="L20" s="729"/>
      <c r="M20" s="730"/>
      <c r="N20" s="2"/>
      <c r="O20" s="2"/>
      <c r="P20" s="2"/>
      <c r="Q20" s="2"/>
      <c r="R20" s="899"/>
      <c r="S20" s="1"/>
      <c r="T20" s="1"/>
      <c r="U20" s="1"/>
      <c r="V20" s="1"/>
      <c r="W20" s="1"/>
      <c r="X20" s="1"/>
      <c r="Y20" s="1"/>
      <c r="Z20" s="1"/>
      <c r="AA20" s="347"/>
      <c r="AB20" s="907">
        <f>'4A-Orbit'!$K$34</f>
        <v>13.545765335741471</v>
      </c>
      <c r="AC20" s="787" t="s">
        <v>173</v>
      </c>
      <c r="AD20" s="900"/>
      <c r="AE20" s="2"/>
      <c r="AF20" s="2"/>
      <c r="AG20" s="2"/>
      <c r="AH20" s="2"/>
    </row>
    <row r="21" spans="1:34">
      <c r="A21" s="2"/>
      <c r="B21" s="11"/>
      <c r="C21" s="742" t="s">
        <v>693</v>
      </c>
      <c r="D21" s="728"/>
      <c r="E21" s="729"/>
      <c r="F21" s="729"/>
      <c r="G21" s="729"/>
      <c r="H21" s="729"/>
      <c r="I21" s="729"/>
      <c r="J21" s="729"/>
      <c r="K21" s="729"/>
      <c r="L21" s="729"/>
      <c r="M21" s="730"/>
      <c r="N21" s="2"/>
      <c r="O21" s="2"/>
      <c r="P21" s="2"/>
      <c r="Q21" s="2"/>
      <c r="R21" s="899"/>
      <c r="S21" s="1"/>
      <c r="T21" s="1"/>
      <c r="U21" s="1"/>
      <c r="V21" s="1"/>
      <c r="W21" s="1"/>
      <c r="X21" s="1"/>
      <c r="Y21" s="1"/>
      <c r="Z21" s="1"/>
      <c r="AA21" s="347"/>
      <c r="AB21" s="1"/>
      <c r="AC21" s="1"/>
      <c r="AD21" s="900"/>
      <c r="AE21" s="2"/>
      <c r="AF21" s="2"/>
      <c r="AG21" s="2"/>
      <c r="AH21" s="2"/>
    </row>
    <row r="22" spans="1:34" ht="16">
      <c r="A22" s="2"/>
      <c r="B22" s="11"/>
      <c r="C22" s="742" t="s">
        <v>694</v>
      </c>
      <c r="D22" s="728"/>
      <c r="E22" s="729"/>
      <c r="F22" s="729"/>
      <c r="G22" s="729"/>
      <c r="H22" s="729"/>
      <c r="I22" s="729"/>
      <c r="J22" s="729"/>
      <c r="K22" s="729"/>
      <c r="L22" s="743"/>
      <c r="M22" s="730"/>
      <c r="N22" s="2"/>
      <c r="O22" s="2"/>
      <c r="P22" s="2"/>
      <c r="Q22" s="2"/>
      <c r="R22" s="899"/>
      <c r="S22" s="1"/>
      <c r="T22" s="1"/>
      <c r="U22" s="1"/>
      <c r="V22" s="1"/>
      <c r="W22" s="1"/>
      <c r="X22" s="1"/>
      <c r="Y22" s="1"/>
      <c r="Z22" s="1"/>
      <c r="AA22" s="347" t="s">
        <v>771</v>
      </c>
      <c r="AB22" s="1"/>
      <c r="AC22" s="1"/>
      <c r="AD22" s="900"/>
      <c r="AE22" s="2"/>
      <c r="AF22" s="2"/>
      <c r="AG22" s="2"/>
      <c r="AH22" s="2"/>
    </row>
    <row r="23" spans="1:34">
      <c r="A23" s="2"/>
      <c r="B23" s="11"/>
      <c r="C23" s="742" t="s">
        <v>695</v>
      </c>
      <c r="D23" s="728"/>
      <c r="E23" s="729"/>
      <c r="F23" s="729"/>
      <c r="G23" s="729"/>
      <c r="H23" s="729"/>
      <c r="I23" s="729"/>
      <c r="J23" s="729"/>
      <c r="K23" s="729"/>
      <c r="L23" s="729"/>
      <c r="M23" s="730"/>
      <c r="N23" s="2"/>
      <c r="O23" s="2"/>
      <c r="P23" s="2"/>
      <c r="Q23" s="2"/>
      <c r="R23" s="899"/>
      <c r="S23" s="1"/>
      <c r="T23" s="1"/>
      <c r="U23" s="1"/>
      <c r="V23" s="1"/>
      <c r="W23" s="1"/>
      <c r="X23" s="1"/>
      <c r="Y23" s="1"/>
      <c r="Z23" s="1"/>
      <c r="AA23" s="347"/>
      <c r="AB23" s="907">
        <f>'4A-Orbit'!$K$35</f>
        <v>8.0044825102057153</v>
      </c>
      <c r="AC23" s="787" t="s">
        <v>173</v>
      </c>
      <c r="AD23" s="900"/>
      <c r="AE23" s="2"/>
      <c r="AF23" s="2"/>
      <c r="AG23" s="2"/>
      <c r="AH23" s="2"/>
    </row>
    <row r="24" spans="1:34" ht="14" thickBot="1">
      <c r="A24" s="2"/>
      <c r="B24" s="11"/>
      <c r="C24" s="2"/>
      <c r="D24" s="744"/>
      <c r="E24" s="745"/>
      <c r="F24" s="745"/>
      <c r="G24" s="745"/>
      <c r="H24" s="745"/>
      <c r="I24" s="745"/>
      <c r="J24" s="745"/>
      <c r="K24" s="745"/>
      <c r="L24" s="745"/>
      <c r="M24" s="746"/>
      <c r="N24" s="2"/>
      <c r="O24" s="2"/>
      <c r="P24" s="2"/>
      <c r="Q24" s="2"/>
      <c r="R24" s="899"/>
      <c r="S24" s="1"/>
      <c r="T24" s="1"/>
      <c r="U24" s="1"/>
      <c r="V24" s="1"/>
      <c r="W24" s="1"/>
      <c r="X24" s="1"/>
      <c r="Y24" s="1"/>
      <c r="Z24" s="1"/>
      <c r="AA24" s="1"/>
      <c r="AB24" s="1"/>
      <c r="AC24" s="1"/>
      <c r="AD24" s="900"/>
      <c r="AE24" s="2"/>
      <c r="AF24" s="2"/>
      <c r="AG24" s="2"/>
      <c r="AH24" s="2"/>
    </row>
    <row r="25" spans="1:34" ht="14" thickBot="1">
      <c r="A25" s="2"/>
      <c r="B25" s="11"/>
      <c r="C25" s="2"/>
      <c r="D25" s="2"/>
      <c r="E25" s="2"/>
      <c r="F25" s="2"/>
      <c r="G25" s="2"/>
      <c r="H25" s="2"/>
      <c r="I25" s="2"/>
      <c r="J25" s="2"/>
      <c r="K25" s="2"/>
      <c r="L25" s="2"/>
      <c r="M25" s="2"/>
      <c r="N25" s="2"/>
      <c r="O25" s="2"/>
      <c r="P25" s="2"/>
      <c r="Q25" s="2"/>
      <c r="R25" s="899"/>
      <c r="S25" s="1"/>
      <c r="T25" s="1"/>
      <c r="U25" s="1"/>
      <c r="V25" s="1"/>
      <c r="W25" s="1"/>
      <c r="X25" s="1"/>
      <c r="Y25" s="1"/>
      <c r="Z25" s="1"/>
      <c r="AA25" s="347" t="s">
        <v>765</v>
      </c>
      <c r="AB25" s="1"/>
      <c r="AC25" s="1"/>
      <c r="AD25" s="900"/>
      <c r="AE25" s="2"/>
      <c r="AF25" s="2"/>
      <c r="AG25" s="2"/>
      <c r="AH25" s="2"/>
    </row>
    <row r="26" spans="1:34" ht="14" thickBot="1">
      <c r="A26" s="847" t="s">
        <v>696</v>
      </c>
      <c r="B26" s="846">
        <v>13</v>
      </c>
      <c r="C26" s="747">
        <f>INDEX(D28:D41,B26,1)</f>
        <v>35785.999999998072</v>
      </c>
      <c r="D26" s="748" t="s">
        <v>697</v>
      </c>
      <c r="E26" s="970" t="s">
        <v>698</v>
      </c>
      <c r="F26" s="970"/>
      <c r="G26" s="749">
        <v>20</v>
      </c>
      <c r="H26" s="593" t="s">
        <v>173</v>
      </c>
      <c r="I26" s="750" t="s">
        <v>699</v>
      </c>
      <c r="J26" s="2"/>
      <c r="K26" s="775">
        <f>B5*(((((C26+B5)^2/B5^2)-(COS(G26/57.2958))^2)^0.5)-SIN(G26/57.2958))</f>
        <v>39554.535616248992</v>
      </c>
      <c r="L26" s="778" t="s">
        <v>8</v>
      </c>
      <c r="M26" s="2"/>
      <c r="N26" s="2"/>
      <c r="O26" s="2"/>
      <c r="P26" s="2"/>
      <c r="Q26" s="2"/>
      <c r="R26" s="899"/>
      <c r="S26" s="1"/>
      <c r="T26" s="1"/>
      <c r="U26" s="1"/>
      <c r="V26" s="1"/>
      <c r="W26" s="1"/>
      <c r="X26" s="1"/>
      <c r="Y26" s="1"/>
      <c r="Z26" s="1"/>
      <c r="AA26" s="1"/>
      <c r="AB26" s="906">
        <f>'4A-Orbit'!$K$36</f>
        <v>-0.99695495164283776</v>
      </c>
      <c r="AC26" s="347" t="s">
        <v>31</v>
      </c>
      <c r="AD26" s="900"/>
      <c r="AE26" s="2"/>
      <c r="AF26" s="2"/>
      <c r="AG26" s="2"/>
      <c r="AH26" s="2"/>
    </row>
    <row r="27" spans="1:34">
      <c r="A27" s="843" t="s">
        <v>700</v>
      </c>
      <c r="B27" s="843" t="s">
        <v>701</v>
      </c>
      <c r="C27" s="845" t="s">
        <v>755</v>
      </c>
      <c r="D27" s="845" t="s">
        <v>702</v>
      </c>
      <c r="E27" s="776" t="s">
        <v>783</v>
      </c>
      <c r="F27" s="777"/>
      <c r="G27" s="844" t="s">
        <v>711</v>
      </c>
      <c r="H27" s="777"/>
      <c r="I27" s="867"/>
      <c r="J27" s="868"/>
      <c r="K27" s="868"/>
      <c r="L27" s="868"/>
      <c r="M27" s="868"/>
      <c r="N27" s="868"/>
      <c r="O27" s="868"/>
      <c r="P27" s="2"/>
      <c r="Q27" s="2"/>
      <c r="R27" s="899"/>
      <c r="S27" s="1"/>
      <c r="T27" s="1"/>
      <c r="U27" s="1"/>
      <c r="V27" s="1"/>
      <c r="W27" s="1"/>
      <c r="X27" s="1"/>
      <c r="Y27" s="1"/>
      <c r="Z27" s="1"/>
      <c r="AA27" s="1"/>
      <c r="AB27" s="1"/>
      <c r="AC27" s="1"/>
      <c r="AD27" s="900"/>
      <c r="AE27" s="2"/>
      <c r="AF27" s="2"/>
      <c r="AG27" s="2"/>
      <c r="AH27" s="2"/>
    </row>
    <row r="28" spans="1:34" ht="14" thickBot="1">
      <c r="A28" s="751">
        <v>1</v>
      </c>
      <c r="B28" s="752">
        <f>(B8*(1-(B9)^2))/(1+B9*COS(C28/57.29578))</f>
        <v>7628.1370000000024</v>
      </c>
      <c r="C28" s="753">
        <v>0</v>
      </c>
      <c r="D28" s="754">
        <f>B28-B5</f>
        <v>1250.0000000000027</v>
      </c>
      <c r="E28" s="47">
        <f>$K$31</f>
        <v>0</v>
      </c>
      <c r="F28" s="15" t="s">
        <v>703</v>
      </c>
      <c r="G28" s="783">
        <v>35</v>
      </c>
      <c r="H28" s="15" t="s">
        <v>3</v>
      </c>
      <c r="I28" s="15"/>
      <c r="J28" s="15"/>
      <c r="K28" s="15"/>
      <c r="L28" s="15"/>
      <c r="M28" s="15"/>
      <c r="N28" s="15"/>
      <c r="O28" s="869"/>
      <c r="P28" s="2"/>
      <c r="Q28" s="2"/>
      <c r="R28" s="899"/>
      <c r="S28" s="1"/>
      <c r="T28" s="1"/>
      <c r="U28" s="1"/>
      <c r="V28" s="1"/>
      <c r="W28" s="1"/>
      <c r="X28" s="1"/>
      <c r="Y28" s="1"/>
      <c r="Z28" s="1"/>
      <c r="AA28" s="347" t="s">
        <v>766</v>
      </c>
      <c r="AB28" s="1"/>
      <c r="AC28" s="1"/>
      <c r="AD28" s="900"/>
      <c r="AE28" s="593" t="s">
        <v>3</v>
      </c>
      <c r="AF28" s="2"/>
      <c r="AG28" s="2"/>
      <c r="AH28" s="2"/>
    </row>
    <row r="29" spans="1:34" ht="14" thickBot="1">
      <c r="A29" s="751">
        <v>2</v>
      </c>
      <c r="B29" s="752">
        <f>(B8*(1-(B9)^2))/(1+B9*COS(C29/57.29578))</f>
        <v>7736.0927598409162</v>
      </c>
      <c r="C29" s="751">
        <v>15</v>
      </c>
      <c r="D29" s="754">
        <f>B29-B5</f>
        <v>1357.9557598409165</v>
      </c>
      <c r="E29" s="47">
        <f t="shared" ref="E29:E41" si="0">$K$31</f>
        <v>0</v>
      </c>
      <c r="F29" s="15" t="s">
        <v>703</v>
      </c>
      <c r="G29" s="783">
        <v>35</v>
      </c>
      <c r="H29" s="755"/>
      <c r="I29" s="756" t="s">
        <v>704</v>
      </c>
      <c r="J29" s="756"/>
      <c r="K29" s="756"/>
      <c r="L29" s="757"/>
      <c r="M29" s="15"/>
      <c r="N29" s="15"/>
      <c r="O29" s="870"/>
      <c r="P29" s="2"/>
      <c r="Q29" s="2"/>
      <c r="R29" s="899"/>
      <c r="S29" s="1"/>
      <c r="T29" s="1"/>
      <c r="U29" s="1"/>
      <c r="V29" s="1"/>
      <c r="W29" s="1"/>
      <c r="X29" s="1"/>
      <c r="Y29" s="1"/>
      <c r="Z29" s="1"/>
      <c r="AA29" s="1"/>
      <c r="AB29" s="907">
        <f>'4A-Orbit'!$K$37</f>
        <v>-3.032317630156677</v>
      </c>
      <c r="AC29" s="347" t="s">
        <v>31</v>
      </c>
      <c r="AD29" s="900"/>
      <c r="AE29" s="2"/>
      <c r="AF29" s="2"/>
      <c r="AG29" s="2"/>
      <c r="AH29" s="2"/>
    </row>
    <row r="30" spans="1:34" ht="14" thickBot="1">
      <c r="A30" s="751">
        <v>3</v>
      </c>
      <c r="B30" s="752">
        <f>(B8*(1-(B9)^2))/(1+B9*COS(C30/57.29578))</f>
        <v>8070.9775841008859</v>
      </c>
      <c r="C30" s="751">
        <v>30</v>
      </c>
      <c r="D30" s="754">
        <f>B30-B5</f>
        <v>1692.8405841008862</v>
      </c>
      <c r="E30" s="47">
        <f t="shared" si="0"/>
        <v>0</v>
      </c>
      <c r="F30" s="15" t="s">
        <v>703</v>
      </c>
      <c r="G30" s="783">
        <v>35</v>
      </c>
      <c r="H30" s="758" t="s">
        <v>705</v>
      </c>
      <c r="I30" s="16"/>
      <c r="J30" s="759"/>
      <c r="K30" s="785">
        <f>2*((ASIN(B5/(B5+C26)))*57.2958)</f>
        <v>17.400982397943835</v>
      </c>
      <c r="L30" s="760" t="s">
        <v>173</v>
      </c>
      <c r="M30" s="786" t="s">
        <v>754</v>
      </c>
      <c r="N30" s="15"/>
      <c r="O30" s="870"/>
      <c r="P30" s="2"/>
      <c r="Q30" s="2"/>
      <c r="R30" s="899"/>
      <c r="S30" s="1"/>
      <c r="T30" s="1"/>
      <c r="U30" s="1"/>
      <c r="V30" s="1"/>
      <c r="W30" s="1"/>
      <c r="X30" s="1"/>
      <c r="Y30" s="1"/>
      <c r="Z30" s="1"/>
      <c r="AA30" s="347" t="s">
        <v>3</v>
      </c>
      <c r="AB30" s="1"/>
      <c r="AC30" s="1"/>
      <c r="AD30" s="900"/>
      <c r="AE30" s="2"/>
      <c r="AF30" s="2"/>
      <c r="AG30" s="2"/>
      <c r="AH30" s="2"/>
    </row>
    <row r="31" spans="1:34" ht="14" thickBot="1">
      <c r="A31" s="751">
        <v>4</v>
      </c>
      <c r="B31" s="752">
        <f>(B8*(1-(B9)^2))/(1+B9*COS(C31/57.29578))</f>
        <v>8667.8664498891103</v>
      </c>
      <c r="C31" s="751">
        <v>45</v>
      </c>
      <c r="D31" s="754">
        <f>B31-B5</f>
        <v>2289.7294498891106</v>
      </c>
      <c r="E31" s="47">
        <f t="shared" si="0"/>
        <v>0</v>
      </c>
      <c r="F31" s="15" t="s">
        <v>703</v>
      </c>
      <c r="G31" s="783">
        <v>35</v>
      </c>
      <c r="H31" s="761" t="s">
        <v>706</v>
      </c>
      <c r="I31" s="16"/>
      <c r="J31" s="16"/>
      <c r="K31" s="905">
        <v>0</v>
      </c>
      <c r="L31" s="762" t="s">
        <v>173</v>
      </c>
      <c r="M31" s="786" t="s">
        <v>763</v>
      </c>
      <c r="N31" s="15"/>
      <c r="O31" s="870"/>
      <c r="P31" s="2"/>
      <c r="Q31" s="2"/>
      <c r="R31" s="901"/>
      <c r="S31" s="902"/>
      <c r="T31" s="902"/>
      <c r="U31" s="902"/>
      <c r="V31" s="902"/>
      <c r="W31" s="902"/>
      <c r="X31" s="902"/>
      <c r="Y31" s="902"/>
      <c r="Z31" s="902"/>
      <c r="AA31" s="902"/>
      <c r="AB31" s="902"/>
      <c r="AC31" s="902"/>
      <c r="AD31" s="903"/>
      <c r="AE31" s="2"/>
      <c r="AF31" s="2"/>
      <c r="AG31" s="2"/>
      <c r="AH31" s="2"/>
    </row>
    <row r="32" spans="1:34" ht="15" customHeight="1" thickBot="1">
      <c r="A32" s="751">
        <v>5</v>
      </c>
      <c r="B32" s="752">
        <f>(B8*(1-(B9)^2))/(1+B9*COS(C32/57.29578))</f>
        <v>9592.379901285587</v>
      </c>
      <c r="C32" s="751">
        <v>60</v>
      </c>
      <c r="D32" s="754">
        <f>B32-B5</f>
        <v>3214.2429012855873</v>
      </c>
      <c r="E32" s="47">
        <f t="shared" si="0"/>
        <v>0</v>
      </c>
      <c r="F32" s="15" t="s">
        <v>703</v>
      </c>
      <c r="G32" s="783">
        <v>35</v>
      </c>
      <c r="H32" s="895" t="s">
        <v>757</v>
      </c>
      <c r="I32" s="16"/>
      <c r="J32" s="759"/>
      <c r="K32" s="785">
        <f>K30/2+K31</f>
        <v>8.7004911989719176</v>
      </c>
      <c r="L32" s="760" t="s">
        <v>173</v>
      </c>
      <c r="M32" s="786" t="s">
        <v>764</v>
      </c>
      <c r="N32" s="15"/>
      <c r="O32" s="870"/>
      <c r="P32" s="2"/>
      <c r="Q32" s="2"/>
      <c r="R32" s="2"/>
      <c r="S32" s="2"/>
      <c r="T32" s="2"/>
      <c r="U32" s="2"/>
      <c r="V32" s="2"/>
      <c r="W32" s="2"/>
      <c r="X32" s="2"/>
      <c r="Y32" s="2"/>
      <c r="Z32" s="2"/>
      <c r="AA32" s="2"/>
      <c r="AB32" s="2"/>
      <c r="AC32" s="2"/>
      <c r="AD32" s="2"/>
      <c r="AE32" s="2"/>
      <c r="AF32" s="2"/>
      <c r="AG32" s="2"/>
      <c r="AH32" s="2"/>
    </row>
    <row r="33" spans="1:34" ht="14" thickBot="1">
      <c r="A33" s="751">
        <v>6</v>
      </c>
      <c r="B33" s="752">
        <f>(B8*(1-(B9)^2))/(1+B9*COS(C33/57.29578))</f>
        <v>10952.806556586431</v>
      </c>
      <c r="C33" s="751">
        <v>75</v>
      </c>
      <c r="D33" s="754">
        <f>B33-B5</f>
        <v>4574.6695565864311</v>
      </c>
      <c r="E33" s="47">
        <f t="shared" si="0"/>
        <v>0</v>
      </c>
      <c r="F33" s="15" t="s">
        <v>703</v>
      </c>
      <c r="G33" s="783">
        <v>35</v>
      </c>
      <c r="H33" s="784" t="s">
        <v>758</v>
      </c>
      <c r="I33" s="16"/>
      <c r="J33" s="759"/>
      <c r="K33" s="854">
        <f>ASIN(COS(G26/57.29578)*SIN(K32/57.29578))*57.29578</f>
        <v>8.1720821540584971</v>
      </c>
      <c r="L33" s="760" t="s">
        <v>173</v>
      </c>
      <c r="M33" s="786" t="s">
        <v>745</v>
      </c>
      <c r="N33" s="15"/>
      <c r="O33" s="870"/>
      <c r="P33" s="2"/>
      <c r="Q33" s="2"/>
      <c r="R33" s="2"/>
      <c r="S33" s="2"/>
      <c r="T33" s="2"/>
      <c r="U33" s="2"/>
      <c r="V33" s="2"/>
      <c r="W33" s="2"/>
      <c r="X33" s="2"/>
      <c r="Y33" s="2"/>
      <c r="Z33" s="2"/>
      <c r="AA33" s="2"/>
      <c r="AB33" s="2"/>
      <c r="AC33" s="2"/>
      <c r="AD33" s="2"/>
      <c r="AE33" s="2"/>
      <c r="AF33" s="2"/>
      <c r="AG33" s="2"/>
      <c r="AH33" s="2"/>
    </row>
    <row r="34" spans="1:34" ht="14" thickBot="1">
      <c r="A34" s="751">
        <v>7</v>
      </c>
      <c r="B34" s="752">
        <f>(B8*(1-(B9)^2))/(1+B9*COS(C34/57.29578))</f>
        <v>12919.024768572332</v>
      </c>
      <c r="C34" s="751">
        <v>90</v>
      </c>
      <c r="D34" s="754">
        <f>B34-B5</f>
        <v>6540.8877685723319</v>
      </c>
      <c r="E34" s="47">
        <f t="shared" si="0"/>
        <v>0</v>
      </c>
      <c r="F34" s="15" t="s">
        <v>703</v>
      </c>
      <c r="G34" s="783">
        <v>35</v>
      </c>
      <c r="H34" s="761" t="s">
        <v>746</v>
      </c>
      <c r="I34" s="16"/>
      <c r="J34" s="759"/>
      <c r="K34" s="785">
        <f>('6-SC TX &amp; RX Set-Up'!F96)/2</f>
        <v>13.545765335741471</v>
      </c>
      <c r="L34" s="850" t="s">
        <v>173</v>
      </c>
      <c r="M34" s="968" t="s">
        <v>756</v>
      </c>
      <c r="N34" s="969"/>
      <c r="O34" s="874"/>
      <c r="P34" s="2"/>
      <c r="Q34" s="2"/>
      <c r="R34" s="2"/>
      <c r="S34" s="2"/>
      <c r="T34" s="2"/>
      <c r="U34" s="2"/>
      <c r="V34" s="2"/>
      <c r="W34" s="2"/>
      <c r="X34" s="2"/>
      <c r="Y34" s="2"/>
      <c r="Z34" s="2"/>
      <c r="AA34" s="2"/>
      <c r="AB34" s="2"/>
      <c r="AC34" s="2"/>
      <c r="AD34" s="2"/>
      <c r="AE34" s="2"/>
      <c r="AF34" s="2"/>
      <c r="AG34" s="2"/>
      <c r="AH34" s="2"/>
    </row>
    <row r="35" spans="1:34" ht="14" thickBot="1">
      <c r="A35" s="751">
        <v>8</v>
      </c>
      <c r="B35" s="752">
        <f>(B8*(1-(B9)^2))/(1+B9*COS(C35/57.29578))</f>
        <v>15745.63937645574</v>
      </c>
      <c r="C35" s="751">
        <v>105</v>
      </c>
      <c r="D35" s="754">
        <f>B35-B5</f>
        <v>9367.5023764557409</v>
      </c>
      <c r="E35" s="47">
        <f t="shared" si="0"/>
        <v>0</v>
      </c>
      <c r="F35" s="15" t="s">
        <v>703</v>
      </c>
      <c r="G35" s="783">
        <v>35</v>
      </c>
      <c r="H35" s="761" t="s">
        <v>747</v>
      </c>
      <c r="I35" s="16"/>
      <c r="J35" s="759"/>
      <c r="K35" s="785">
        <f>('6-SC TX &amp; RX Set-Up'!M96)/2</f>
        <v>8.0044825102057153</v>
      </c>
      <c r="L35" s="850" t="s">
        <v>173</v>
      </c>
      <c r="M35" s="968" t="s">
        <v>756</v>
      </c>
      <c r="N35" s="969"/>
      <c r="O35" s="870"/>
      <c r="P35" s="2"/>
      <c r="Q35" s="2"/>
      <c r="R35" s="2"/>
      <c r="S35" s="2"/>
      <c r="T35" s="2"/>
      <c r="U35" s="2"/>
      <c r="V35" s="2"/>
      <c r="W35" s="2"/>
      <c r="X35" s="2"/>
      <c r="Y35" s="2"/>
      <c r="Z35" s="2"/>
      <c r="AA35" s="2"/>
      <c r="AB35" s="2"/>
      <c r="AC35" s="2"/>
      <c r="AD35" s="2"/>
      <c r="AE35" s="2"/>
      <c r="AF35" s="2"/>
      <c r="AG35" s="2"/>
      <c r="AH35" s="2"/>
    </row>
    <row r="36" spans="1:34" ht="14" thickBot="1">
      <c r="A36" s="751">
        <v>9</v>
      </c>
      <c r="B36" s="752">
        <f>(B8*(1-(B9)^2))/(1+B9*COS(C36/57.29578))</f>
        <v>19778.077644923076</v>
      </c>
      <c r="C36" s="751">
        <v>120</v>
      </c>
      <c r="D36" s="754">
        <f>B36-B5</f>
        <v>13399.940644923077</v>
      </c>
      <c r="E36" s="47">
        <f t="shared" si="0"/>
        <v>0</v>
      </c>
      <c r="F36" s="15" t="s">
        <v>703</v>
      </c>
      <c r="G36" s="783">
        <v>35</v>
      </c>
      <c r="H36" s="761" t="s">
        <v>761</v>
      </c>
      <c r="I36" s="16"/>
      <c r="J36" s="759"/>
      <c r="K36" s="764">
        <f>INDEX('6-SC TX &amp; RX Set-Up'!E119:'6-SC TX &amp; RX Set-Up'!E211,MATCH('4A-Orbit'!$K$33, '6-SC TX &amp; RX Set-Up'!H119:'6-SC TX &amp; RX Set-Up'!H211,1),1)</f>
        <v>-0.99695495164283776</v>
      </c>
      <c r="L36" s="760" t="s">
        <v>31</v>
      </c>
      <c r="M36" s="786" t="s">
        <v>743</v>
      </c>
      <c r="N36" s="15"/>
      <c r="O36" s="870"/>
      <c r="P36" s="2"/>
      <c r="Q36" s="2"/>
      <c r="R36" s="2"/>
      <c r="S36" s="2"/>
      <c r="T36" s="2"/>
      <c r="U36" s="2"/>
      <c r="V36" s="2"/>
      <c r="W36" s="2"/>
      <c r="X36" s="2"/>
      <c r="Y36" s="2"/>
      <c r="Z36" s="2"/>
      <c r="AA36" s="2"/>
      <c r="AB36" s="2"/>
      <c r="AC36" s="2"/>
      <c r="AD36" s="2"/>
      <c r="AE36" s="2"/>
      <c r="AF36" s="2"/>
      <c r="AG36" s="2"/>
      <c r="AH36" s="2"/>
    </row>
    <row r="37" spans="1:34" ht="14" thickBot="1">
      <c r="A37" s="751">
        <v>10</v>
      </c>
      <c r="B37" s="752">
        <f>(B8*(1-(B9)^2))/(1+B9*COS(C37/57.29578))</f>
        <v>25353.810852375576</v>
      </c>
      <c r="C37" s="751">
        <v>135</v>
      </c>
      <c r="D37" s="754">
        <f>B37-B5</f>
        <v>18975.673852375578</v>
      </c>
      <c r="E37" s="47">
        <f t="shared" si="0"/>
        <v>0</v>
      </c>
      <c r="F37" s="15" t="s">
        <v>703</v>
      </c>
      <c r="G37" s="783">
        <v>40</v>
      </c>
      <c r="H37" s="761" t="s">
        <v>762</v>
      </c>
      <c r="I37" s="16"/>
      <c r="J37" s="759"/>
      <c r="K37" s="764">
        <f>INDEX('6-SC TX &amp; RX Set-Up'!O119:'6-SC TX &amp; RX Set-Up'!O211,MATCH('4A-Orbit'!$K$33, '6-SC TX &amp; RX Set-Up'!R119:'6-SC TX &amp; RX Set-Up'!R211,1),1)</f>
        <v>-3.032317630156677</v>
      </c>
      <c r="L37" s="760" t="s">
        <v>31</v>
      </c>
      <c r="M37" s="786" t="s">
        <v>744</v>
      </c>
      <c r="N37" s="15"/>
      <c r="O37" s="870"/>
      <c r="P37" s="2"/>
      <c r="Q37" s="2"/>
      <c r="R37" s="2"/>
      <c r="S37" s="2" t="s">
        <v>3</v>
      </c>
      <c r="T37" s="2"/>
      <c r="U37" s="2"/>
      <c r="V37" s="2"/>
      <c r="W37" s="2"/>
      <c r="X37" s="2"/>
      <c r="Y37" s="2"/>
      <c r="Z37" s="2"/>
      <c r="AA37" s="2"/>
      <c r="AB37" s="2"/>
      <c r="AC37" s="2"/>
      <c r="AD37" s="2"/>
      <c r="AE37" s="2"/>
      <c r="AF37" s="2"/>
      <c r="AG37" s="2"/>
      <c r="AH37" s="2"/>
    </row>
    <row r="38" spans="1:34" ht="14" thickBot="1">
      <c r="A38" s="751">
        <v>11</v>
      </c>
      <c r="B38" s="752">
        <f>(B8*(1-(B9)^2))/(1+B9*COS(C38/57.29578))</f>
        <v>32352.284661571575</v>
      </c>
      <c r="C38" s="751">
        <v>150</v>
      </c>
      <c r="D38" s="754">
        <f>B38-B5</f>
        <v>25974.147661571576</v>
      </c>
      <c r="E38" s="47">
        <f t="shared" si="0"/>
        <v>0</v>
      </c>
      <c r="F38" s="15" t="s">
        <v>703</v>
      </c>
      <c r="G38" s="783">
        <v>50</v>
      </c>
      <c r="H38" s="763" t="s">
        <v>712</v>
      </c>
      <c r="I38" s="16"/>
      <c r="J38" s="759"/>
      <c r="K38" s="872" t="e">
        <f ca="1">'12-RX-TX Link Results'!G9</f>
        <v>#NAME?</v>
      </c>
      <c r="L38" s="851" t="s">
        <v>31</v>
      </c>
      <c r="M38" s="786" t="s">
        <v>781</v>
      </c>
      <c r="N38" s="15"/>
      <c r="O38" s="870"/>
      <c r="P38" s="2"/>
      <c r="Q38" s="2"/>
      <c r="R38" s="2"/>
      <c r="S38" s="2"/>
      <c r="T38" s="2"/>
      <c r="U38" s="2"/>
      <c r="V38" s="2"/>
      <c r="W38" s="2"/>
      <c r="X38" s="2"/>
      <c r="Y38" s="2"/>
      <c r="Z38" s="2"/>
      <c r="AA38" s="2"/>
      <c r="AB38" s="2"/>
      <c r="AC38" s="2"/>
      <c r="AD38" s="2"/>
      <c r="AE38" s="2"/>
      <c r="AF38" s="2"/>
      <c r="AG38" s="2"/>
      <c r="AH38" s="2"/>
    </row>
    <row r="39" spans="1:34" ht="14" thickBot="1">
      <c r="A39" s="751">
        <v>12</v>
      </c>
      <c r="B39" s="752">
        <f>(B8*(1-(B9)^2))/(1+B9*COS(C39/57.29578))</f>
        <v>39144.726037824221</v>
      </c>
      <c r="C39" s="751">
        <v>165</v>
      </c>
      <c r="D39" s="754">
        <f>B39-B5</f>
        <v>32766.589037824222</v>
      </c>
      <c r="E39" s="47">
        <f t="shared" si="0"/>
        <v>0</v>
      </c>
      <c r="F39" s="15" t="s">
        <v>703</v>
      </c>
      <c r="G39" s="783">
        <v>90</v>
      </c>
      <c r="H39" s="48" t="s">
        <v>713</v>
      </c>
      <c r="I39" s="49"/>
      <c r="J39" s="765"/>
      <c r="K39" s="873" t="e">
        <f ca="1">'12-RX-TX Link Results'!G7</f>
        <v>#NAME?</v>
      </c>
      <c r="L39" s="852" t="s">
        <v>31</v>
      </c>
      <c r="M39" s="786" t="s">
        <v>782</v>
      </c>
      <c r="N39" s="15"/>
      <c r="O39" s="870"/>
      <c r="P39" s="2"/>
      <c r="Q39" s="2"/>
      <c r="R39" s="2"/>
      <c r="S39" s="2"/>
      <c r="T39" s="2"/>
      <c r="U39" s="2"/>
      <c r="V39" s="2"/>
      <c r="W39" s="2"/>
      <c r="X39" s="2"/>
      <c r="Y39" s="2"/>
      <c r="Z39" s="2"/>
      <c r="AA39" s="2"/>
      <c r="AB39" s="2"/>
      <c r="AC39" s="2"/>
      <c r="AD39" s="2"/>
      <c r="AE39" s="2"/>
      <c r="AF39" s="2"/>
      <c r="AG39" s="2"/>
      <c r="AH39" s="2"/>
    </row>
    <row r="40" spans="1:34">
      <c r="A40" s="751">
        <v>13</v>
      </c>
      <c r="B40" s="752">
        <f>(B8*(1-(B9)^2))/(1+B9*COS(C40/57.29578))</f>
        <v>42164.136999998074</v>
      </c>
      <c r="C40" s="753">
        <v>179.99999</v>
      </c>
      <c r="D40" s="754">
        <f>B40-B5</f>
        <v>35785.999999998072</v>
      </c>
      <c r="E40" s="47">
        <f t="shared" si="0"/>
        <v>0</v>
      </c>
      <c r="F40" s="15" t="s">
        <v>703</v>
      </c>
      <c r="G40" s="783">
        <v>170</v>
      </c>
      <c r="H40" s="15"/>
      <c r="I40" s="15"/>
      <c r="J40" s="15"/>
      <c r="K40" s="15"/>
      <c r="L40" s="15"/>
      <c r="M40" s="15"/>
      <c r="N40" s="15"/>
      <c r="O40" s="871"/>
      <c r="P40" s="2"/>
      <c r="Q40" s="2"/>
      <c r="R40" s="2"/>
      <c r="S40" s="2"/>
      <c r="T40" s="2"/>
      <c r="U40" s="2"/>
      <c r="V40" s="2"/>
      <c r="W40" s="2"/>
      <c r="X40" s="2"/>
      <c r="Y40" s="2"/>
      <c r="Z40" s="2"/>
      <c r="AA40" s="2"/>
      <c r="AB40" s="2"/>
      <c r="AC40" s="2"/>
      <c r="AD40" s="2"/>
      <c r="AE40" s="2"/>
      <c r="AF40" s="2"/>
      <c r="AG40" s="2"/>
      <c r="AH40" s="2"/>
    </row>
    <row r="41" spans="1:34">
      <c r="A41" s="766">
        <v>14</v>
      </c>
      <c r="B41" s="767">
        <f>(B8*(1-(B9)^2))/(1+B9*COS(C41/57.29578))</f>
        <v>41804.030394649795</v>
      </c>
      <c r="C41" s="768">
        <v>175</v>
      </c>
      <c r="D41" s="769">
        <f>B41-B5</f>
        <v>35425.893394649793</v>
      </c>
      <c r="E41" s="770">
        <f t="shared" si="0"/>
        <v>0</v>
      </c>
      <c r="F41" s="771" t="s">
        <v>703</v>
      </c>
      <c r="G41" s="768">
        <v>160</v>
      </c>
      <c r="H41" s="771"/>
      <c r="I41" s="772" t="s">
        <v>707</v>
      </c>
      <c r="J41" s="771"/>
      <c r="K41" s="771"/>
      <c r="L41" s="771"/>
      <c r="M41" s="771"/>
      <c r="N41" s="771"/>
      <c r="O41" s="773"/>
      <c r="P41" s="2"/>
      <c r="Q41" s="2"/>
      <c r="R41" s="2"/>
      <c r="S41" s="2"/>
      <c r="T41" s="2"/>
      <c r="U41" s="2"/>
      <c r="V41" s="2"/>
      <c r="W41" s="2"/>
      <c r="X41" s="2"/>
      <c r="Y41" s="2"/>
      <c r="Z41" s="2"/>
      <c r="AA41" s="2"/>
      <c r="AB41" s="2"/>
      <c r="AC41" s="2"/>
      <c r="AD41" s="2"/>
      <c r="AE41" s="2"/>
      <c r="AF41" s="2"/>
      <c r="AG41" s="2"/>
      <c r="AH41" s="2"/>
    </row>
    <row r="42" spans="1:34">
      <c r="A42" s="2"/>
      <c r="B42" s="2" t="s">
        <v>3</v>
      </c>
      <c r="C42" s="2"/>
      <c r="D42" s="2"/>
      <c r="E42" s="2" t="s">
        <v>3</v>
      </c>
      <c r="F42" s="2"/>
      <c r="G42" s="2"/>
      <c r="H42" s="2"/>
      <c r="I42" s="2"/>
      <c r="J42" s="2"/>
      <c r="K42" s="2"/>
      <c r="L42" s="2"/>
      <c r="M42" s="2"/>
      <c r="N42" s="2"/>
      <c r="O42" s="2"/>
      <c r="P42" s="2"/>
      <c r="Q42" s="593" t="s">
        <v>3</v>
      </c>
      <c r="R42" s="2"/>
      <c r="S42" s="2"/>
      <c r="T42" s="2"/>
      <c r="U42" s="2"/>
      <c r="V42" s="2"/>
      <c r="W42" s="2"/>
      <c r="X42" s="2"/>
      <c r="Y42" s="2"/>
      <c r="Z42" s="2"/>
      <c r="AA42" s="2"/>
      <c r="AB42" s="2"/>
      <c r="AC42" s="2"/>
      <c r="AD42" s="2"/>
      <c r="AE42" s="2"/>
      <c r="AF42" s="2"/>
      <c r="AG42" s="2"/>
      <c r="AH42" s="2"/>
    </row>
    <row r="43" spans="1:34">
      <c r="A43" s="2"/>
      <c r="B43" s="2"/>
      <c r="C43" s="2"/>
      <c r="D43" s="2"/>
      <c r="E43" s="2"/>
      <c r="F43" s="2"/>
      <c r="G43" s="2"/>
      <c r="H43" s="2"/>
      <c r="I43" s="2"/>
      <c r="J43" s="2"/>
      <c r="K43" s="2"/>
      <c r="L43" s="2"/>
      <c r="M43" s="593" t="s">
        <v>3</v>
      </c>
      <c r="N43" s="2"/>
      <c r="O43" s="2"/>
      <c r="P43" s="2"/>
      <c r="Q43" s="2"/>
      <c r="R43" s="2"/>
      <c r="S43" s="2"/>
      <c r="T43" s="2"/>
      <c r="U43" s="2"/>
      <c r="V43" s="2"/>
      <c r="W43" s="2"/>
      <c r="X43" s="2"/>
      <c r="Y43" s="2"/>
      <c r="Z43" s="2"/>
      <c r="AA43" s="2"/>
      <c r="AB43" s="2"/>
      <c r="AC43" s="2"/>
      <c r="AD43" s="2"/>
      <c r="AE43" s="2"/>
      <c r="AF43" s="2"/>
      <c r="AG43" s="2"/>
      <c r="AH43" s="2"/>
    </row>
    <row r="44" spans="1:34">
      <c r="A44" s="2"/>
      <c r="B44" s="2"/>
      <c r="C44" s="2"/>
      <c r="D44" s="2"/>
      <c r="E44" s="2"/>
      <c r="F44" s="2"/>
      <c r="G44" s="2"/>
      <c r="H44" s="2"/>
      <c r="I44" s="2"/>
      <c r="J44" s="593" t="s">
        <v>3</v>
      </c>
      <c r="K44" s="2"/>
      <c r="L44" s="2"/>
      <c r="M44" s="2"/>
      <c r="N44" s="2"/>
      <c r="O44" s="2"/>
      <c r="P44" s="2"/>
      <c r="Q44" s="2"/>
      <c r="R44" s="2"/>
      <c r="S44" s="2"/>
      <c r="T44" s="2"/>
      <c r="U44" s="2"/>
      <c r="V44" s="2"/>
      <c r="W44" s="2"/>
      <c r="X44" s="2"/>
      <c r="Y44" s="2"/>
      <c r="Z44" s="2"/>
      <c r="AA44" s="2"/>
      <c r="AB44" s="2"/>
      <c r="AC44" s="2"/>
      <c r="AD44" s="2"/>
      <c r="AE44" s="2"/>
      <c r="AF44" s="2"/>
      <c r="AG44" s="2"/>
      <c r="AH44" s="2"/>
    </row>
    <row r="45" spans="1:34">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row>
    <row r="46" spans="1:34">
      <c r="A46" s="2"/>
      <c r="B46" s="2"/>
      <c r="C46" s="2"/>
      <c r="D46" s="2"/>
      <c r="E46" s="2"/>
      <c r="F46" s="2"/>
      <c r="G46" s="2"/>
      <c r="H46" s="2"/>
      <c r="I46" s="2"/>
      <c r="J46" s="2"/>
      <c r="K46" s="593" t="s">
        <v>3</v>
      </c>
      <c r="L46" s="2"/>
      <c r="M46" s="2"/>
      <c r="N46" s="2"/>
      <c r="O46" s="2"/>
      <c r="P46" s="2"/>
      <c r="Q46" s="2"/>
      <c r="R46" s="2"/>
      <c r="S46" s="2"/>
      <c r="T46" s="2"/>
      <c r="U46" s="2"/>
      <c r="V46" s="2"/>
      <c r="W46" s="2"/>
      <c r="X46" s="2"/>
      <c r="Y46" s="2"/>
      <c r="Z46" s="2"/>
      <c r="AA46" s="2"/>
      <c r="AB46" s="2"/>
      <c r="AC46" s="2"/>
      <c r="AD46" s="2"/>
      <c r="AE46" s="2"/>
      <c r="AF46" s="2"/>
      <c r="AG46" s="2"/>
      <c r="AH46" s="2"/>
    </row>
    <row r="47" spans="1:34" ht="14" thickBot="1">
      <c r="A47" s="774"/>
      <c r="B47" s="774"/>
      <c r="C47" s="774"/>
      <c r="D47" s="774"/>
      <c r="E47" s="774"/>
      <c r="F47" s="774"/>
      <c r="G47" s="774"/>
      <c r="H47" s="774"/>
      <c r="I47" s="774"/>
      <c r="J47" s="774"/>
      <c r="K47" s="774"/>
      <c r="L47" s="774"/>
      <c r="M47" s="774"/>
      <c r="N47" s="774"/>
      <c r="O47" s="774"/>
      <c r="P47" s="774"/>
      <c r="Q47" s="774"/>
      <c r="R47" s="774"/>
      <c r="S47" s="774"/>
      <c r="T47" s="774"/>
      <c r="U47" s="774"/>
      <c r="V47" s="774"/>
      <c r="W47" s="774"/>
      <c r="X47" s="774"/>
      <c r="Y47" s="774"/>
      <c r="Z47" s="774"/>
      <c r="AA47" s="774"/>
      <c r="AB47" s="774"/>
      <c r="AC47" s="774"/>
      <c r="AD47" s="774"/>
      <c r="AE47" s="774"/>
      <c r="AF47" s="774"/>
      <c r="AG47" s="774"/>
      <c r="AH47" s="774"/>
    </row>
  </sheetData>
  <mergeCells count="3">
    <mergeCell ref="M34:N34"/>
    <mergeCell ref="E26:F26"/>
    <mergeCell ref="M35:N35"/>
  </mergeCell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AF948-724B-420E-A28D-EBFAB595A4A4}">
  <sheetPr codeName="Sheet15">
    <tabColor theme="9"/>
  </sheetPr>
  <dimension ref="A1:Z53"/>
  <sheetViews>
    <sheetView zoomScale="110" zoomScaleNormal="110" workbookViewId="0">
      <selection activeCell="C30" sqref="C30"/>
    </sheetView>
  </sheetViews>
  <sheetFormatPr baseColWidth="10" defaultColWidth="8.83203125" defaultRowHeight="13"/>
  <cols>
    <col min="1" max="1" width="21.33203125" customWidth="1"/>
    <col min="3" max="3" width="25.33203125" customWidth="1"/>
    <col min="4" max="4" width="32.83203125" customWidth="1"/>
    <col min="5" max="5" width="12.33203125" customWidth="1"/>
    <col min="6" max="6" width="13.6640625" customWidth="1"/>
    <col min="7" max="7" width="11.33203125" customWidth="1"/>
    <col min="8" max="10" width="9.1640625" customWidth="1"/>
    <col min="12" max="12" width="9.33203125" customWidth="1"/>
  </cols>
  <sheetData>
    <row r="1" spans="1:26" ht="19" thickBot="1">
      <c r="A1" s="710" t="s">
        <v>643</v>
      </c>
      <c r="B1" s="599"/>
      <c r="C1" s="600" t="s">
        <v>608</v>
      </c>
      <c r="D1" s="599"/>
      <c r="E1" s="599"/>
      <c r="F1" s="599"/>
      <c r="G1" s="639" t="s">
        <v>645</v>
      </c>
      <c r="H1" s="599"/>
      <c r="I1" s="599"/>
      <c r="J1" s="599"/>
      <c r="K1" s="599"/>
      <c r="L1" s="599"/>
      <c r="M1" s="599"/>
      <c r="N1" s="599"/>
      <c r="O1" s="599"/>
      <c r="P1" s="599"/>
      <c r="Q1" s="599"/>
      <c r="R1" s="599"/>
      <c r="S1" s="599"/>
      <c r="T1" s="599"/>
      <c r="U1" s="599"/>
      <c r="V1" s="599"/>
      <c r="W1" s="599"/>
      <c r="X1" s="599"/>
      <c r="Y1" s="599"/>
      <c r="Z1" s="599"/>
    </row>
    <row r="2" spans="1:26">
      <c r="A2" s="711"/>
      <c r="B2" s="974" t="s">
        <v>634</v>
      </c>
      <c r="C2" s="975"/>
      <c r="D2" s="976"/>
      <c r="E2" s="974" t="s">
        <v>599</v>
      </c>
      <c r="F2" s="975"/>
      <c r="G2" s="976"/>
      <c r="H2" s="974" t="s">
        <v>630</v>
      </c>
      <c r="I2" s="975"/>
      <c r="J2" s="975"/>
      <c r="K2" s="971" t="s">
        <v>629</v>
      </c>
      <c r="L2" s="972"/>
      <c r="M2" s="973"/>
      <c r="N2" s="974" t="s">
        <v>631</v>
      </c>
      <c r="O2" s="975"/>
      <c r="P2" s="975"/>
      <c r="Q2" s="971" t="s">
        <v>632</v>
      </c>
      <c r="R2" s="972"/>
      <c r="S2" s="973"/>
      <c r="T2" s="640"/>
      <c r="U2" s="640"/>
      <c r="V2" s="640"/>
      <c r="W2" s="640"/>
      <c r="X2" s="640"/>
      <c r="Y2" s="640"/>
      <c r="Z2" s="640"/>
    </row>
    <row r="3" spans="1:26" ht="48">
      <c r="A3" s="621"/>
      <c r="B3" s="642" t="s">
        <v>621</v>
      </c>
      <c r="C3" s="643" t="s">
        <v>599</v>
      </c>
      <c r="D3" s="620" t="s">
        <v>610</v>
      </c>
      <c r="E3" s="618" t="s">
        <v>618</v>
      </c>
      <c r="F3" s="618" t="s">
        <v>617</v>
      </c>
      <c r="G3" s="618" t="s">
        <v>639</v>
      </c>
      <c r="H3" s="618" t="s">
        <v>628</v>
      </c>
      <c r="I3" s="618" t="s">
        <v>635</v>
      </c>
      <c r="J3" s="619" t="s">
        <v>633</v>
      </c>
      <c r="K3" s="618" t="s">
        <v>600</v>
      </c>
      <c r="L3" s="618" t="s">
        <v>601</v>
      </c>
      <c r="M3" s="619" t="s">
        <v>602</v>
      </c>
      <c r="N3" s="618" t="s">
        <v>628</v>
      </c>
      <c r="O3" s="618" t="s">
        <v>635</v>
      </c>
      <c r="P3" s="619" t="s">
        <v>633</v>
      </c>
      <c r="Q3" s="618" t="s">
        <v>600</v>
      </c>
      <c r="R3" s="618" t="s">
        <v>601</v>
      </c>
      <c r="S3" s="619" t="s">
        <v>602</v>
      </c>
      <c r="T3" s="621"/>
      <c r="U3" s="621"/>
      <c r="V3" s="621"/>
      <c r="W3" s="621"/>
      <c r="X3" s="621"/>
      <c r="Y3" s="621"/>
      <c r="Z3" s="621"/>
    </row>
    <row r="4" spans="1:26">
      <c r="A4" s="621"/>
      <c r="B4" s="624">
        <v>1</v>
      </c>
      <c r="C4" s="657" t="s">
        <v>603</v>
      </c>
      <c r="D4" s="658" t="s">
        <v>616</v>
      </c>
      <c r="E4" s="659">
        <v>37.380000000000003</v>
      </c>
      <c r="F4" s="659">
        <v>-121.9611</v>
      </c>
      <c r="G4" s="660">
        <v>1.07E-3</v>
      </c>
      <c r="H4" s="661"/>
      <c r="I4" s="661"/>
      <c r="J4" s="661"/>
      <c r="K4" s="662">
        <v>27.5</v>
      </c>
      <c r="L4" s="662">
        <v>17.8</v>
      </c>
      <c r="M4" s="663">
        <v>45.3</v>
      </c>
      <c r="N4" s="664">
        <v>20.8</v>
      </c>
      <c r="O4" s="664">
        <v>100</v>
      </c>
      <c r="P4" s="665">
        <v>-6</v>
      </c>
      <c r="Q4" s="664">
        <v>21.5</v>
      </c>
      <c r="R4" s="664">
        <v>19.8</v>
      </c>
      <c r="S4" s="664">
        <v>37.799999999999997</v>
      </c>
      <c r="T4" s="621"/>
      <c r="U4" s="621"/>
      <c r="V4" s="621"/>
      <c r="W4" s="621"/>
      <c r="X4" s="621"/>
      <c r="Y4" s="621"/>
      <c r="Z4" s="621"/>
    </row>
    <row r="5" spans="1:26">
      <c r="A5" s="621"/>
      <c r="B5" s="624">
        <f>B4+1</f>
        <v>2</v>
      </c>
      <c r="C5" s="657" t="s">
        <v>604</v>
      </c>
      <c r="D5" s="658" t="s">
        <v>616</v>
      </c>
      <c r="E5" s="659">
        <v>39.573300000000003</v>
      </c>
      <c r="F5" s="659">
        <v>-105.1356</v>
      </c>
      <c r="G5" s="660">
        <v>1.7729999999999999</v>
      </c>
      <c r="H5" s="661"/>
      <c r="I5" s="661"/>
      <c r="J5" s="661"/>
      <c r="K5" s="662">
        <v>27.5</v>
      </c>
      <c r="L5" s="662">
        <v>17.8</v>
      </c>
      <c r="M5" s="663">
        <v>45.3</v>
      </c>
      <c r="N5" s="664">
        <v>20.8</v>
      </c>
      <c r="O5" s="664">
        <v>100</v>
      </c>
      <c r="P5" s="665">
        <v>-6</v>
      </c>
      <c r="Q5" s="664">
        <v>21.5</v>
      </c>
      <c r="R5" s="664">
        <v>19.8</v>
      </c>
      <c r="S5" s="664">
        <v>37.799999999999997</v>
      </c>
      <c r="T5" s="621"/>
      <c r="U5" s="622" t="s">
        <v>3</v>
      </c>
      <c r="V5" s="621"/>
      <c r="W5" s="621"/>
      <c r="X5" s="621"/>
      <c r="Y5" s="621"/>
      <c r="Z5" s="621"/>
    </row>
    <row r="6" spans="1:26">
      <c r="A6" s="621"/>
      <c r="B6" s="624">
        <f t="shared" ref="B6:B22" si="0">B5+1</f>
        <v>3</v>
      </c>
      <c r="C6" s="657" t="s">
        <v>605</v>
      </c>
      <c r="D6" s="658" t="s">
        <v>625</v>
      </c>
      <c r="E6" s="659">
        <v>31.964200000000002</v>
      </c>
      <c r="F6" s="659">
        <v>-103.2342</v>
      </c>
      <c r="G6" s="660">
        <v>0.249</v>
      </c>
      <c r="H6" s="661"/>
      <c r="I6" s="661"/>
      <c r="J6" s="661"/>
      <c r="K6" s="662">
        <v>27.5</v>
      </c>
      <c r="L6" s="662">
        <v>17.8</v>
      </c>
      <c r="M6" s="663">
        <v>45.3</v>
      </c>
      <c r="N6" s="661"/>
      <c r="O6" s="661"/>
      <c r="P6" s="661"/>
      <c r="Q6" s="661"/>
      <c r="R6" s="661"/>
      <c r="S6" s="661"/>
      <c r="T6" s="621"/>
      <c r="U6" s="621"/>
      <c r="V6" s="621"/>
      <c r="W6" s="621"/>
      <c r="X6" s="621"/>
      <c r="Y6" s="621"/>
      <c r="Z6" s="621"/>
    </row>
    <row r="7" spans="1:26">
      <c r="A7" s="621"/>
      <c r="B7" s="624">
        <f t="shared" si="0"/>
        <v>4</v>
      </c>
      <c r="C7" s="657" t="s">
        <v>606</v>
      </c>
      <c r="D7" s="658" t="s">
        <v>625</v>
      </c>
      <c r="E7" s="659">
        <v>39.198900000000002</v>
      </c>
      <c r="F7" s="659">
        <v>-119.7392</v>
      </c>
      <c r="G7" s="660">
        <v>0.377</v>
      </c>
      <c r="H7" s="661"/>
      <c r="I7" s="661"/>
      <c r="J7" s="661"/>
      <c r="K7" s="662">
        <v>27.5</v>
      </c>
      <c r="L7" s="662">
        <v>17.8</v>
      </c>
      <c r="M7" s="663">
        <v>45.3</v>
      </c>
      <c r="N7" s="661"/>
      <c r="O7" s="661"/>
      <c r="P7" s="661"/>
      <c r="Q7" s="661"/>
      <c r="R7" s="661"/>
      <c r="S7" s="661"/>
      <c r="T7" s="621"/>
      <c r="U7" s="621"/>
      <c r="V7" s="621"/>
      <c r="W7" s="621"/>
      <c r="X7" s="621"/>
      <c r="Y7" s="621"/>
      <c r="Z7" s="621"/>
    </row>
    <row r="8" spans="1:26">
      <c r="A8" s="621"/>
      <c r="B8" s="625">
        <f t="shared" si="0"/>
        <v>5</v>
      </c>
      <c r="C8" s="666" t="s">
        <v>626</v>
      </c>
      <c r="D8" s="667" t="s">
        <v>624</v>
      </c>
      <c r="E8" s="668">
        <v>78.231800000000007</v>
      </c>
      <c r="F8" s="668">
        <v>15.373100000000001</v>
      </c>
      <c r="G8" s="668">
        <v>0.47899999999999998</v>
      </c>
      <c r="H8" s="669">
        <v>55.6</v>
      </c>
      <c r="I8" s="669">
        <v>210</v>
      </c>
      <c r="J8" s="670">
        <v>29</v>
      </c>
      <c r="K8" s="668">
        <v>32.6</v>
      </c>
      <c r="L8" s="671">
        <v>16.02</v>
      </c>
      <c r="M8" s="668">
        <v>46.8</v>
      </c>
      <c r="N8" s="661"/>
      <c r="O8" s="661"/>
      <c r="P8" s="661"/>
      <c r="Q8" s="661"/>
      <c r="R8" s="661"/>
      <c r="S8" s="661"/>
      <c r="T8" s="621"/>
      <c r="U8" s="621"/>
      <c r="V8" s="621"/>
      <c r="W8" s="621"/>
      <c r="X8" s="621"/>
      <c r="Y8" s="621"/>
      <c r="Z8" s="621"/>
    </row>
    <row r="9" spans="1:26">
      <c r="A9" s="621"/>
      <c r="B9" s="626">
        <f t="shared" si="0"/>
        <v>6</v>
      </c>
      <c r="C9" s="672" t="s">
        <v>607</v>
      </c>
      <c r="D9" s="673" t="s">
        <v>623</v>
      </c>
      <c r="E9" s="674">
        <v>69.662199999999999</v>
      </c>
      <c r="F9" s="674">
        <v>18.940799999999999</v>
      </c>
      <c r="G9" s="675">
        <v>9.9699999999999997E-2</v>
      </c>
      <c r="H9" s="676"/>
      <c r="I9" s="676"/>
      <c r="J9" s="677"/>
      <c r="K9" s="674">
        <v>24.5</v>
      </c>
      <c r="L9" s="678">
        <v>20</v>
      </c>
      <c r="M9" s="674">
        <v>42.5</v>
      </c>
      <c r="N9" s="679">
        <v>20</v>
      </c>
      <c r="O9" s="680">
        <v>100</v>
      </c>
      <c r="P9" s="680">
        <v>-6.5</v>
      </c>
      <c r="Q9" s="680">
        <v>20.5</v>
      </c>
      <c r="R9" s="679">
        <v>20</v>
      </c>
      <c r="S9" s="679">
        <v>39</v>
      </c>
      <c r="T9" s="621"/>
      <c r="U9" s="621"/>
      <c r="V9" s="621"/>
      <c r="W9" s="621"/>
      <c r="X9" s="621"/>
      <c r="Y9" s="621"/>
      <c r="Z9" s="621"/>
    </row>
    <row r="10" spans="1:26">
      <c r="A10" s="621"/>
      <c r="B10" s="626">
        <f t="shared" si="0"/>
        <v>7</v>
      </c>
      <c r="C10" s="681" t="s">
        <v>622</v>
      </c>
      <c r="D10" s="667" t="s">
        <v>615</v>
      </c>
      <c r="E10" s="668">
        <v>-72.002799999999993</v>
      </c>
      <c r="F10" s="668">
        <v>2.5255999999999998</v>
      </c>
      <c r="G10" s="682">
        <v>1.254</v>
      </c>
      <c r="H10" s="669">
        <v>55.6</v>
      </c>
      <c r="I10" s="669">
        <v>210</v>
      </c>
      <c r="J10" s="670">
        <v>29</v>
      </c>
      <c r="K10" s="674">
        <v>32.6</v>
      </c>
      <c r="L10" s="678">
        <v>16.02</v>
      </c>
      <c r="M10" s="674">
        <v>46.8</v>
      </c>
      <c r="N10" s="661"/>
      <c r="O10" s="661"/>
      <c r="P10" s="661"/>
      <c r="Q10" s="661" t="s">
        <v>3</v>
      </c>
      <c r="R10" s="661"/>
      <c r="S10" s="661"/>
      <c r="T10" s="621"/>
      <c r="U10" s="621"/>
      <c r="V10" s="621"/>
      <c r="W10" s="621"/>
      <c r="X10" s="621"/>
      <c r="Y10" s="621"/>
      <c r="Z10" s="621"/>
    </row>
    <row r="11" spans="1:26">
      <c r="A11" s="621"/>
      <c r="B11" s="627">
        <f t="shared" si="0"/>
        <v>8</v>
      </c>
      <c r="C11" s="683" t="s">
        <v>609</v>
      </c>
      <c r="D11" s="684" t="s">
        <v>615</v>
      </c>
      <c r="E11" s="685">
        <v>71.275199000000001</v>
      </c>
      <c r="F11" s="685">
        <v>-156.806116</v>
      </c>
      <c r="G11" s="686">
        <v>9.9699999999999997E-2</v>
      </c>
      <c r="H11" s="687">
        <v>55.6</v>
      </c>
      <c r="I11" s="687">
        <v>210</v>
      </c>
      <c r="J11" s="688">
        <v>29</v>
      </c>
      <c r="K11" s="689">
        <v>32.6</v>
      </c>
      <c r="L11" s="690">
        <v>16</v>
      </c>
      <c r="M11" s="689">
        <v>46.8</v>
      </c>
      <c r="N11" s="661"/>
      <c r="O11" s="661"/>
      <c r="P11" s="661"/>
      <c r="Q11" s="661"/>
      <c r="R11" s="661"/>
      <c r="S11" s="661"/>
      <c r="T11" s="621"/>
      <c r="U11" s="621"/>
      <c r="V11" s="621"/>
      <c r="W11" s="621"/>
      <c r="X11" s="621"/>
      <c r="Y11" s="621"/>
      <c r="Z11" s="621"/>
    </row>
    <row r="12" spans="1:26">
      <c r="A12" s="621"/>
      <c r="B12" s="628">
        <f t="shared" si="0"/>
        <v>9</v>
      </c>
      <c r="C12" s="691" t="s">
        <v>613</v>
      </c>
      <c r="D12" s="692" t="s">
        <v>619</v>
      </c>
      <c r="E12" s="693">
        <v>40.020000000000003</v>
      </c>
      <c r="F12" s="694">
        <v>-105.27</v>
      </c>
      <c r="G12" s="695">
        <v>1.641</v>
      </c>
      <c r="H12" s="694">
        <v>55.6</v>
      </c>
      <c r="I12" s="694">
        <v>210</v>
      </c>
      <c r="J12" s="696">
        <v>29</v>
      </c>
      <c r="K12" s="697">
        <v>27.5</v>
      </c>
      <c r="L12" s="697">
        <v>17.8</v>
      </c>
      <c r="M12" s="697">
        <v>45.3</v>
      </c>
      <c r="N12" s="698">
        <v>20.8</v>
      </c>
      <c r="O12" s="698">
        <v>100</v>
      </c>
      <c r="P12" s="699">
        <v>-6</v>
      </c>
      <c r="Q12" s="698">
        <v>21.5</v>
      </c>
      <c r="R12" s="698">
        <v>19.8</v>
      </c>
      <c r="S12" s="698">
        <v>37.799999999999997</v>
      </c>
      <c r="T12" s="621"/>
      <c r="U12" s="621"/>
      <c r="V12" s="621"/>
      <c r="W12" s="621"/>
      <c r="X12" s="621"/>
      <c r="Y12" s="621"/>
      <c r="Z12" s="621"/>
    </row>
    <row r="13" spans="1:26">
      <c r="A13" s="621"/>
      <c r="B13" s="628">
        <f t="shared" si="0"/>
        <v>10</v>
      </c>
      <c r="C13" s="691" t="s">
        <v>611</v>
      </c>
      <c r="D13" s="692" t="s">
        <v>619</v>
      </c>
      <c r="E13" s="693">
        <v>40.71</v>
      </c>
      <c r="F13" s="694">
        <v>-74.010000000000005</v>
      </c>
      <c r="G13" s="694">
        <v>5.0000000000000001E-3</v>
      </c>
      <c r="H13" s="694">
        <v>55.6</v>
      </c>
      <c r="I13" s="694">
        <v>210</v>
      </c>
      <c r="J13" s="696">
        <v>29</v>
      </c>
      <c r="K13" s="700">
        <v>27.5</v>
      </c>
      <c r="L13" s="700">
        <v>17.8</v>
      </c>
      <c r="M13" s="697">
        <v>45.3</v>
      </c>
      <c r="N13" s="698">
        <v>20.8</v>
      </c>
      <c r="O13" s="698">
        <v>100</v>
      </c>
      <c r="P13" s="699">
        <v>-6</v>
      </c>
      <c r="Q13" s="698">
        <v>21.5</v>
      </c>
      <c r="R13" s="698">
        <v>19.8</v>
      </c>
      <c r="S13" s="698">
        <v>37.799999999999997</v>
      </c>
      <c r="T13" s="621"/>
      <c r="U13" s="621"/>
      <c r="V13" s="621"/>
      <c r="W13" s="621"/>
      <c r="X13" s="621"/>
      <c r="Y13" s="621"/>
      <c r="Z13" s="621"/>
    </row>
    <row r="14" spans="1:26">
      <c r="A14" s="621"/>
      <c r="B14" s="628">
        <f t="shared" si="0"/>
        <v>11</v>
      </c>
      <c r="C14" s="691" t="s">
        <v>612</v>
      </c>
      <c r="D14" s="692" t="s">
        <v>619</v>
      </c>
      <c r="E14" s="694">
        <v>41.88</v>
      </c>
      <c r="F14" s="694">
        <v>-87.63</v>
      </c>
      <c r="G14" s="701">
        <v>0.183</v>
      </c>
      <c r="H14" s="694">
        <v>55.6</v>
      </c>
      <c r="I14" s="694">
        <v>210</v>
      </c>
      <c r="J14" s="696">
        <v>29</v>
      </c>
      <c r="K14" s="700">
        <v>27.5</v>
      </c>
      <c r="L14" s="700">
        <v>17.8</v>
      </c>
      <c r="M14" s="697">
        <v>45.3</v>
      </c>
      <c r="N14" s="698">
        <v>20.8</v>
      </c>
      <c r="O14" s="698">
        <v>100</v>
      </c>
      <c r="P14" s="699">
        <v>-6</v>
      </c>
      <c r="Q14" s="698">
        <v>21.5</v>
      </c>
      <c r="R14" s="698">
        <v>19.8</v>
      </c>
      <c r="S14" s="698">
        <v>37.799999999999997</v>
      </c>
      <c r="T14" s="621"/>
      <c r="U14" s="621"/>
      <c r="V14" s="621"/>
      <c r="W14" s="622" t="s">
        <v>3</v>
      </c>
      <c r="X14" s="621"/>
      <c r="Y14" s="621"/>
      <c r="Z14" s="621"/>
    </row>
    <row r="15" spans="1:26">
      <c r="A15" s="621"/>
      <c r="B15" s="628">
        <f t="shared" si="0"/>
        <v>12</v>
      </c>
      <c r="C15" s="691" t="s">
        <v>614</v>
      </c>
      <c r="D15" s="692" t="s">
        <v>619</v>
      </c>
      <c r="E15" s="694">
        <v>29.76</v>
      </c>
      <c r="F15" s="694">
        <v>-95.37</v>
      </c>
      <c r="G15" s="701">
        <v>1.4E-2</v>
      </c>
      <c r="H15" s="694">
        <v>55.6</v>
      </c>
      <c r="I15" s="694">
        <v>210</v>
      </c>
      <c r="J15" s="696">
        <v>29</v>
      </c>
      <c r="K15" s="700">
        <v>27.5</v>
      </c>
      <c r="L15" s="700">
        <v>17.8</v>
      </c>
      <c r="M15" s="697">
        <v>45.3</v>
      </c>
      <c r="N15" s="698">
        <v>20.8</v>
      </c>
      <c r="O15" s="698">
        <v>100</v>
      </c>
      <c r="P15" s="699">
        <v>-6</v>
      </c>
      <c r="Q15" s="698">
        <v>21.5</v>
      </c>
      <c r="R15" s="698">
        <v>19.8</v>
      </c>
      <c r="S15" s="698">
        <v>37.799999999999997</v>
      </c>
      <c r="T15" s="621"/>
      <c r="U15" s="621"/>
      <c r="V15" s="621"/>
      <c r="W15" s="621"/>
      <c r="X15" s="621"/>
      <c r="Y15" s="621"/>
      <c r="Z15" s="621"/>
    </row>
    <row r="16" spans="1:26">
      <c r="A16" s="621"/>
      <c r="B16" s="628">
        <f t="shared" si="0"/>
        <v>13</v>
      </c>
      <c r="C16" s="691" t="s">
        <v>637</v>
      </c>
      <c r="D16" s="692" t="s">
        <v>619</v>
      </c>
      <c r="E16" s="694">
        <v>34.049999999999997</v>
      </c>
      <c r="F16" s="694">
        <v>-118.24</v>
      </c>
      <c r="G16" s="701">
        <v>0.46300000000000002</v>
      </c>
      <c r="H16" s="694">
        <v>55.6</v>
      </c>
      <c r="I16" s="694">
        <v>210</v>
      </c>
      <c r="J16" s="696">
        <v>29</v>
      </c>
      <c r="K16" s="700">
        <v>27.5</v>
      </c>
      <c r="L16" s="700">
        <v>17.8</v>
      </c>
      <c r="M16" s="697">
        <v>45.3</v>
      </c>
      <c r="N16" s="698">
        <v>20.8</v>
      </c>
      <c r="O16" s="698">
        <v>100</v>
      </c>
      <c r="P16" s="699">
        <v>-6</v>
      </c>
      <c r="Q16" s="698">
        <v>21.5</v>
      </c>
      <c r="R16" s="698">
        <v>19.8</v>
      </c>
      <c r="S16" s="698">
        <v>37.799999999999997</v>
      </c>
      <c r="T16" s="621"/>
      <c r="U16" s="621"/>
      <c r="V16" s="621"/>
      <c r="W16" s="621"/>
      <c r="X16" s="621"/>
      <c r="Y16" s="621"/>
      <c r="Z16" s="621"/>
    </row>
    <row r="17" spans="1:26">
      <c r="A17" s="621"/>
      <c r="B17" s="628">
        <f t="shared" si="0"/>
        <v>14</v>
      </c>
      <c r="C17" s="702" t="s">
        <v>636</v>
      </c>
      <c r="D17" s="694" t="s">
        <v>619</v>
      </c>
      <c r="E17" s="703">
        <v>30.297799999999999</v>
      </c>
      <c r="F17" s="703">
        <v>-89.953100000000006</v>
      </c>
      <c r="G17" s="698">
        <v>4.0000000000000001E-3</v>
      </c>
      <c r="H17" s="694">
        <v>55.6</v>
      </c>
      <c r="I17" s="694">
        <v>210</v>
      </c>
      <c r="J17" s="696">
        <v>29</v>
      </c>
      <c r="K17" s="700">
        <v>27.5</v>
      </c>
      <c r="L17" s="700">
        <v>17.8</v>
      </c>
      <c r="M17" s="697">
        <v>45.3</v>
      </c>
      <c r="N17" s="698">
        <v>20.8</v>
      </c>
      <c r="O17" s="698">
        <v>100</v>
      </c>
      <c r="P17" s="699">
        <v>-6</v>
      </c>
      <c r="Q17" s="698">
        <v>21.5</v>
      </c>
      <c r="R17" s="698">
        <v>19.8</v>
      </c>
      <c r="S17" s="698">
        <v>37.799999999999997</v>
      </c>
      <c r="T17" s="621"/>
      <c r="U17" s="621"/>
      <c r="V17" s="621"/>
      <c r="W17" s="621"/>
      <c r="X17" s="621"/>
      <c r="Y17" s="621"/>
      <c r="Z17" s="621"/>
    </row>
    <row r="18" spans="1:26">
      <c r="A18" s="621"/>
      <c r="B18" s="1079">
        <f t="shared" si="0"/>
        <v>15</v>
      </c>
      <c r="C18" s="1080" t="s">
        <v>802</v>
      </c>
      <c r="D18" s="1081"/>
      <c r="E18" s="1082">
        <v>38.380000000000003</v>
      </c>
      <c r="F18" s="1082">
        <v>-103.16</v>
      </c>
      <c r="G18" s="1082">
        <v>1.385</v>
      </c>
      <c r="H18" s="1082"/>
      <c r="I18" s="1082"/>
      <c r="J18" s="1082"/>
      <c r="K18" s="1082"/>
      <c r="L18" s="1082"/>
      <c r="M18" s="1082"/>
      <c r="N18" s="1082"/>
      <c r="O18" s="1082"/>
      <c r="P18" s="1082"/>
      <c r="Q18" s="1082"/>
      <c r="R18" s="1082"/>
      <c r="S18" s="1082"/>
      <c r="T18" s="622" t="s">
        <v>3</v>
      </c>
      <c r="U18" s="621"/>
      <c r="V18" s="621"/>
      <c r="W18" s="621"/>
      <c r="X18" s="621"/>
      <c r="Y18" s="621"/>
      <c r="Z18" s="621"/>
    </row>
    <row r="19" spans="1:26" ht="14">
      <c r="A19" s="621"/>
      <c r="B19" s="646">
        <f t="shared" si="0"/>
        <v>16</v>
      </c>
      <c r="C19" s="647"/>
      <c r="D19" s="645"/>
      <c r="E19" s="644"/>
      <c r="F19" s="644"/>
      <c r="G19" s="644"/>
      <c r="H19" s="644"/>
      <c r="I19" s="644" t="s">
        <v>3</v>
      </c>
      <c r="J19" s="644"/>
      <c r="K19" s="644"/>
      <c r="L19" s="644"/>
      <c r="M19" s="644"/>
      <c r="N19" s="644"/>
      <c r="O19" s="644"/>
      <c r="P19" s="644"/>
      <c r="Q19" s="644"/>
      <c r="R19" s="644"/>
      <c r="S19" s="644"/>
      <c r="T19" s="621"/>
      <c r="U19" s="621"/>
      <c r="V19" s="621"/>
      <c r="W19" s="621"/>
      <c r="X19" s="621"/>
      <c r="Y19" s="621"/>
      <c r="Z19" s="621"/>
    </row>
    <row r="20" spans="1:26" ht="14">
      <c r="A20" s="621"/>
      <c r="B20" s="646">
        <f t="shared" si="0"/>
        <v>17</v>
      </c>
      <c r="C20" s="647"/>
      <c r="D20" s="645" t="s">
        <v>3</v>
      </c>
      <c r="E20" s="644"/>
      <c r="F20" s="644"/>
      <c r="G20" s="644"/>
      <c r="H20" s="644"/>
      <c r="I20" s="644"/>
      <c r="J20" s="644"/>
      <c r="K20" s="644"/>
      <c r="L20" s="644"/>
      <c r="M20" s="644"/>
      <c r="N20" s="644"/>
      <c r="O20" s="644"/>
      <c r="P20" s="644"/>
      <c r="Q20" s="644"/>
      <c r="R20" s="644"/>
      <c r="S20" s="644"/>
      <c r="T20" s="621"/>
      <c r="U20" s="621"/>
      <c r="V20" s="621"/>
      <c r="W20" s="621"/>
      <c r="X20" s="621"/>
      <c r="Y20" s="621"/>
      <c r="Z20" s="621"/>
    </row>
    <row r="21" spans="1:26" ht="14">
      <c r="A21" s="621"/>
      <c r="B21" s="646">
        <f t="shared" si="0"/>
        <v>18</v>
      </c>
      <c r="C21" s="647"/>
      <c r="D21" s="645"/>
      <c r="E21" s="644"/>
      <c r="F21" s="644"/>
      <c r="G21" s="644"/>
      <c r="H21" s="644"/>
      <c r="I21" s="644"/>
      <c r="J21" s="644"/>
      <c r="K21" s="644"/>
      <c r="L21" s="644"/>
      <c r="M21" s="644"/>
      <c r="N21" s="644"/>
      <c r="O21" s="644"/>
      <c r="P21" s="644"/>
      <c r="Q21" s="644"/>
      <c r="R21" s="644"/>
      <c r="S21" s="644"/>
      <c r="T21" s="621"/>
      <c r="U21" s="621"/>
      <c r="V21" s="621"/>
      <c r="W21" s="621"/>
      <c r="X21" s="621"/>
      <c r="Y21" s="621"/>
      <c r="Z21" s="621"/>
    </row>
    <row r="22" spans="1:26" ht="14">
      <c r="A22" s="621"/>
      <c r="B22" s="623">
        <f t="shared" si="0"/>
        <v>19</v>
      </c>
      <c r="C22" s="648" t="s">
        <v>620</v>
      </c>
      <c r="D22" s="649" t="s">
        <v>627</v>
      </c>
      <c r="E22" s="649" t="s">
        <v>627</v>
      </c>
      <c r="F22" s="649" t="s">
        <v>627</v>
      </c>
      <c r="G22" s="649" t="s">
        <v>627</v>
      </c>
      <c r="H22" s="650" t="s">
        <v>627</v>
      </c>
      <c r="I22" s="650" t="s">
        <v>627</v>
      </c>
      <c r="J22" s="650" t="s">
        <v>627</v>
      </c>
      <c r="K22" s="650" t="s">
        <v>627</v>
      </c>
      <c r="L22" s="650" t="s">
        <v>627</v>
      </c>
      <c r="M22" s="650" t="s">
        <v>627</v>
      </c>
      <c r="N22" s="650" t="s">
        <v>627</v>
      </c>
      <c r="O22" s="650" t="s">
        <v>627</v>
      </c>
      <c r="P22" s="650" t="s">
        <v>627</v>
      </c>
      <c r="Q22" s="650" t="s">
        <v>627</v>
      </c>
      <c r="R22" s="650" t="s">
        <v>627</v>
      </c>
      <c r="S22" s="641" t="s">
        <v>627</v>
      </c>
      <c r="T22" s="621"/>
      <c r="U22" s="621"/>
      <c r="V22" s="621"/>
      <c r="W22" s="621"/>
      <c r="X22" s="621"/>
      <c r="Y22" s="621"/>
      <c r="Z22" s="621"/>
    </row>
    <row r="23" spans="1:26">
      <c r="A23" s="621"/>
      <c r="B23" s="621"/>
      <c r="C23" s="621"/>
      <c r="D23" s="621"/>
      <c r="E23" s="621"/>
      <c r="F23" s="621"/>
      <c r="G23" s="621"/>
      <c r="H23" s="621"/>
      <c r="I23" s="621"/>
      <c r="J23" s="621"/>
      <c r="K23" s="621"/>
      <c r="L23" s="621"/>
      <c r="M23" s="621"/>
      <c r="N23" s="621"/>
      <c r="O23" s="621"/>
      <c r="P23" s="621"/>
      <c r="Q23" s="621"/>
      <c r="R23" s="621"/>
      <c r="S23" s="621"/>
      <c r="T23" s="621"/>
      <c r="U23" s="621"/>
      <c r="V23" s="621"/>
      <c r="W23" s="621"/>
      <c r="X23" s="621"/>
      <c r="Y23" s="621"/>
      <c r="Z23" s="621"/>
    </row>
    <row r="24" spans="1:26">
      <c r="A24" s="621"/>
      <c r="B24" s="621"/>
      <c r="C24" s="621"/>
      <c r="D24" s="621"/>
      <c r="E24" s="621"/>
      <c r="F24" s="621"/>
      <c r="G24" s="621"/>
      <c r="H24" s="621"/>
      <c r="I24" s="621"/>
      <c r="J24" s="621"/>
      <c r="K24" s="621"/>
      <c r="L24" s="621"/>
      <c r="M24" s="621"/>
      <c r="N24" s="621"/>
      <c r="O24" s="621"/>
      <c r="P24" s="621"/>
      <c r="Q24" s="621"/>
      <c r="R24" s="621"/>
      <c r="S24" s="621"/>
      <c r="T24" s="621"/>
      <c r="U24" s="621"/>
      <c r="V24" s="621"/>
      <c r="W24" s="621"/>
      <c r="X24" s="621"/>
      <c r="Y24" s="621"/>
      <c r="Z24" s="621"/>
    </row>
    <row r="25" spans="1:26" ht="14" thickBot="1">
      <c r="A25" s="621"/>
      <c r="B25" s="651" t="s">
        <v>638</v>
      </c>
      <c r="C25" s="621"/>
      <c r="D25" s="622" t="s">
        <v>3</v>
      </c>
      <c r="E25" s="708" t="s">
        <v>11</v>
      </c>
      <c r="F25" s="708" t="s">
        <v>11</v>
      </c>
      <c r="G25" s="708" t="s">
        <v>8</v>
      </c>
      <c r="H25" s="621"/>
      <c r="I25" s="621"/>
      <c r="J25" s="621"/>
      <c r="K25" s="621"/>
      <c r="L25" s="621"/>
      <c r="M25" s="621"/>
      <c r="N25" s="621"/>
      <c r="O25" s="621"/>
      <c r="P25" s="621"/>
      <c r="Q25" s="621"/>
      <c r="R25" s="621"/>
      <c r="S25" s="621"/>
      <c r="T25" s="621"/>
      <c r="U25" s="621"/>
      <c r="V25" s="621"/>
      <c r="W25" s="621"/>
      <c r="X25" s="621"/>
      <c r="Y25" s="621"/>
      <c r="Z25" s="621"/>
    </row>
    <row r="26" spans="1:26" ht="14" thickBot="1">
      <c r="A26" s="621"/>
      <c r="B26" s="940">
        <v>15</v>
      </c>
      <c r="C26" s="704" t="str" cm="1">
        <f t="array" ref="C26">INDEX(C4:C22,B26,1)</f>
        <v>Haswell Site, DSES, CO, USA</v>
      </c>
      <c r="D26" s="705" cm="1">
        <f t="array" ref="D26">INDEX(D4:D22,B26,1)</f>
        <v>0</v>
      </c>
      <c r="E26" s="706" cm="1">
        <f t="array" ref="E26">INDEX(E4:E22,B26,1)</f>
        <v>38.380000000000003</v>
      </c>
      <c r="F26" s="705" cm="1">
        <f t="array" ref="F26">INDEX(F4:F22,B26,1)</f>
        <v>-103.16</v>
      </c>
      <c r="G26" s="707" cm="1">
        <f t="array" ref="G26">INDEX(G4:G22,B26,1)</f>
        <v>1.385</v>
      </c>
      <c r="H26" s="621"/>
      <c r="I26" s="621"/>
      <c r="J26" s="621"/>
      <c r="K26" s="621"/>
      <c r="L26" s="621"/>
      <c r="M26" s="621"/>
      <c r="N26" s="621"/>
      <c r="O26" s="621"/>
      <c r="P26" s="621"/>
      <c r="Q26" s="621"/>
      <c r="R26" s="621"/>
      <c r="S26" s="621"/>
      <c r="T26" s="621"/>
      <c r="U26" s="621"/>
      <c r="V26" s="621"/>
      <c r="W26" s="621"/>
      <c r="X26" s="621"/>
      <c r="Y26" s="621"/>
      <c r="Z26" s="621"/>
    </row>
    <row r="27" spans="1:26">
      <c r="A27" s="621"/>
      <c r="B27" s="621"/>
      <c r="C27" s="621"/>
      <c r="D27" s="622" t="s">
        <v>3</v>
      </c>
      <c r="E27" s="621"/>
      <c r="F27" s="621"/>
      <c r="G27" s="621"/>
      <c r="H27" s="621"/>
      <c r="I27" s="621"/>
      <c r="J27" s="621"/>
      <c r="K27" s="622" t="s">
        <v>3</v>
      </c>
      <c r="L27" s="621"/>
      <c r="M27" s="621"/>
      <c r="N27" s="621"/>
      <c r="O27" s="621"/>
      <c r="P27" s="621"/>
      <c r="Q27" s="621"/>
      <c r="R27" s="621"/>
      <c r="S27" s="621"/>
      <c r="T27" s="621"/>
      <c r="U27" s="621"/>
      <c r="V27" s="621"/>
      <c r="W27" s="621"/>
      <c r="X27" s="621"/>
      <c r="Y27" s="621"/>
      <c r="Z27" s="621"/>
    </row>
    <row r="28" spans="1:26" ht="14" thickBot="1">
      <c r="A28" s="621"/>
      <c r="B28" s="621"/>
      <c r="C28" s="621"/>
      <c r="D28" s="621"/>
      <c r="E28" s="621"/>
      <c r="F28" s="621"/>
      <c r="G28" s="621"/>
      <c r="H28" s="621"/>
      <c r="I28" s="621"/>
      <c r="J28" s="621"/>
      <c r="K28" s="621"/>
      <c r="L28" s="621"/>
      <c r="M28" s="621"/>
      <c r="N28" s="621"/>
      <c r="O28" s="621"/>
      <c r="P28" s="621"/>
      <c r="Q28" s="622" t="s">
        <v>3</v>
      </c>
      <c r="R28" s="621"/>
      <c r="S28" s="621"/>
      <c r="T28" s="621"/>
      <c r="U28" s="621"/>
      <c r="V28" s="621"/>
      <c r="W28" s="621"/>
      <c r="X28" s="621"/>
      <c r="Y28" s="621"/>
      <c r="Z28" s="621"/>
    </row>
    <row r="29" spans="1:26" ht="14" thickBot="1">
      <c r="A29" s="621"/>
      <c r="B29" s="719" t="s">
        <v>140</v>
      </c>
      <c r="C29" s="621"/>
      <c r="D29" s="621"/>
      <c r="E29" s="621"/>
      <c r="F29" s="621"/>
      <c r="G29" s="621"/>
      <c r="H29" s="622" t="s">
        <v>3</v>
      </c>
      <c r="I29" s="621"/>
      <c r="J29" s="621"/>
      <c r="K29" s="621"/>
      <c r="L29" s="621"/>
      <c r="M29" s="621"/>
      <c r="N29" s="621"/>
      <c r="O29" s="621"/>
      <c r="P29" s="622" t="s">
        <v>3</v>
      </c>
      <c r="Q29" s="621"/>
      <c r="R29" s="621"/>
      <c r="S29" s="621"/>
      <c r="T29" s="621"/>
      <c r="U29" s="621"/>
      <c r="V29" s="621"/>
      <c r="W29" s="621"/>
      <c r="X29" s="621"/>
      <c r="Y29" s="621"/>
      <c r="Z29" s="621"/>
    </row>
    <row r="30" spans="1:26">
      <c r="A30" s="622" t="s">
        <v>3</v>
      </c>
      <c r="B30" s="621"/>
      <c r="C30" s="621"/>
      <c r="D30" s="622" t="s">
        <v>3</v>
      </c>
      <c r="E30" s="621"/>
      <c r="F30" s="622" t="s">
        <v>3</v>
      </c>
      <c r="G30" s="621"/>
      <c r="H30" s="621"/>
      <c r="I30" s="621"/>
      <c r="J30" s="621"/>
      <c r="K30" s="621"/>
      <c r="L30" s="621"/>
      <c r="M30" s="622" t="s">
        <v>3</v>
      </c>
      <c r="N30" s="621"/>
      <c r="O30" s="622" t="s">
        <v>3</v>
      </c>
      <c r="P30" s="621"/>
      <c r="Q30" s="621"/>
      <c r="R30" s="621"/>
      <c r="S30" s="621"/>
      <c r="T30" s="621"/>
      <c r="U30" s="621"/>
      <c r="V30" s="621"/>
      <c r="W30" s="621"/>
      <c r="X30" s="621"/>
      <c r="Y30" s="621"/>
      <c r="Z30" s="621"/>
    </row>
    <row r="31" spans="1:26">
      <c r="A31" s="621"/>
      <c r="B31" s="622" t="s">
        <v>3</v>
      </c>
      <c r="C31" s="622" t="s">
        <v>3</v>
      </c>
      <c r="D31" s="621"/>
      <c r="E31" s="621"/>
      <c r="F31" s="622" t="s">
        <v>3</v>
      </c>
      <c r="G31" s="621"/>
      <c r="H31" s="621"/>
      <c r="I31" s="621"/>
      <c r="J31" s="622" t="s">
        <v>3</v>
      </c>
      <c r="K31" s="621"/>
      <c r="L31" s="621"/>
      <c r="M31" s="621"/>
      <c r="N31" s="621"/>
      <c r="O31" s="621"/>
      <c r="P31" s="621"/>
      <c r="Q31" s="621"/>
      <c r="R31" s="621"/>
      <c r="S31" s="621"/>
      <c r="T31" s="621"/>
      <c r="U31" s="621"/>
      <c r="V31" s="621"/>
      <c r="W31" s="621"/>
      <c r="X31" s="621"/>
      <c r="Y31" s="621"/>
      <c r="Z31" s="621"/>
    </row>
    <row r="32" spans="1:26">
      <c r="A32" s="621"/>
      <c r="B32" s="621"/>
      <c r="C32" s="621"/>
      <c r="D32" s="621"/>
      <c r="E32" s="621"/>
      <c r="F32" s="621"/>
      <c r="G32" s="621"/>
      <c r="H32" s="621"/>
      <c r="I32" s="621"/>
      <c r="J32" s="621"/>
      <c r="K32" s="621"/>
      <c r="L32" s="621"/>
      <c r="M32" s="621"/>
      <c r="N32" s="621"/>
      <c r="O32" s="621"/>
      <c r="P32" s="621"/>
      <c r="Q32" s="621"/>
      <c r="R32" s="621"/>
      <c r="S32" s="621"/>
      <c r="T32" s="621"/>
      <c r="U32" s="621"/>
      <c r="V32" s="621"/>
      <c r="W32" s="621"/>
      <c r="X32" s="621"/>
      <c r="Y32" s="621"/>
      <c r="Z32" s="621"/>
    </row>
    <row r="33" spans="1:26">
      <c r="A33" s="621"/>
      <c r="B33" s="621"/>
      <c r="C33" s="621"/>
      <c r="D33" s="621"/>
      <c r="E33" s="621"/>
      <c r="F33" s="621"/>
      <c r="G33" s="621"/>
      <c r="H33" s="621"/>
      <c r="I33" s="621"/>
      <c r="J33" s="621"/>
      <c r="K33" s="621"/>
      <c r="L33" s="621"/>
      <c r="M33" s="621"/>
      <c r="N33" s="621"/>
      <c r="O33" s="621"/>
      <c r="P33" s="621"/>
      <c r="Q33" s="621"/>
      <c r="R33" s="621"/>
      <c r="S33" s="621"/>
      <c r="T33" s="621"/>
      <c r="U33" s="621"/>
      <c r="V33" s="621"/>
      <c r="W33" s="621"/>
      <c r="X33" s="621"/>
      <c r="Y33" s="621"/>
      <c r="Z33" s="621"/>
    </row>
    <row r="34" spans="1:26">
      <c r="A34" s="621"/>
      <c r="B34" s="621"/>
      <c r="C34" s="621"/>
      <c r="D34" s="621"/>
      <c r="E34" s="621"/>
      <c r="F34" s="621"/>
      <c r="G34" s="621"/>
      <c r="H34" s="621"/>
      <c r="I34" s="621"/>
      <c r="J34" s="621"/>
      <c r="K34" s="621"/>
      <c r="L34" s="621"/>
      <c r="M34" s="621"/>
      <c r="N34" s="621"/>
      <c r="O34" s="621"/>
      <c r="P34" s="621"/>
      <c r="Q34" s="621"/>
      <c r="R34" s="621"/>
      <c r="S34" s="621"/>
      <c r="T34" s="621"/>
      <c r="U34" s="621"/>
      <c r="V34" s="621"/>
      <c r="W34" s="621"/>
      <c r="X34" s="621"/>
      <c r="Y34" s="621"/>
      <c r="Z34" s="621"/>
    </row>
    <row r="35" spans="1:26">
      <c r="A35" s="621"/>
      <c r="B35" s="621"/>
      <c r="C35" s="621"/>
      <c r="D35" s="621"/>
      <c r="E35" s="621"/>
      <c r="F35" s="621"/>
      <c r="G35" s="621"/>
      <c r="H35" s="621"/>
      <c r="I35" s="621"/>
      <c r="J35" s="621"/>
      <c r="K35" s="621"/>
      <c r="L35" s="621"/>
      <c r="M35" s="621"/>
      <c r="N35" s="621"/>
      <c r="O35" s="621"/>
      <c r="P35" s="621"/>
      <c r="Q35" s="621"/>
      <c r="R35" s="621"/>
      <c r="S35" s="621"/>
      <c r="T35" s="621"/>
      <c r="U35" s="621"/>
      <c r="V35" s="621"/>
      <c r="W35" s="621"/>
      <c r="X35" s="621"/>
      <c r="Y35" s="621"/>
      <c r="Z35" s="621"/>
    </row>
    <row r="36" spans="1:26">
      <c r="A36" s="621"/>
      <c r="B36" s="621"/>
      <c r="C36" s="621"/>
      <c r="D36" s="621"/>
      <c r="E36" s="621"/>
      <c r="F36" s="621"/>
      <c r="G36" s="621"/>
      <c r="H36" s="621"/>
      <c r="I36" s="621"/>
      <c r="J36" s="621"/>
      <c r="K36" s="621"/>
      <c r="L36" s="621"/>
      <c r="M36" s="621"/>
      <c r="N36" s="621"/>
      <c r="O36" s="621"/>
      <c r="P36" s="621"/>
      <c r="Q36" s="621"/>
      <c r="R36" s="621"/>
      <c r="S36" s="621"/>
      <c r="T36" s="621"/>
      <c r="U36" s="621"/>
      <c r="V36" s="621"/>
      <c r="W36" s="621"/>
      <c r="X36" s="621"/>
      <c r="Y36" s="621"/>
      <c r="Z36" s="621"/>
    </row>
    <row r="37" spans="1:26">
      <c r="A37" s="621"/>
      <c r="B37" s="621"/>
      <c r="C37" s="621"/>
      <c r="D37" s="621"/>
      <c r="E37" s="621"/>
      <c r="F37" s="621"/>
      <c r="G37" s="621"/>
      <c r="H37" s="621"/>
      <c r="I37" s="621"/>
      <c r="J37" s="621"/>
      <c r="K37" s="621"/>
      <c r="L37" s="621"/>
      <c r="M37" s="621"/>
      <c r="N37" s="621"/>
      <c r="O37" s="621"/>
      <c r="P37" s="621"/>
      <c r="Q37" s="621"/>
      <c r="R37" s="621"/>
      <c r="S37" s="621"/>
      <c r="T37" s="621"/>
      <c r="U37" s="621"/>
      <c r="V37" s="621"/>
      <c r="W37" s="621"/>
      <c r="X37" s="621"/>
      <c r="Y37" s="621"/>
      <c r="Z37" s="621"/>
    </row>
    <row r="38" spans="1:26">
      <c r="A38" s="621"/>
      <c r="B38" s="621"/>
      <c r="C38" s="621"/>
      <c r="D38" s="621"/>
      <c r="E38" s="621"/>
      <c r="F38" s="621"/>
      <c r="G38" s="621"/>
      <c r="H38" s="621"/>
      <c r="I38" s="621"/>
      <c r="J38" s="621"/>
      <c r="K38" s="621"/>
      <c r="L38" s="621"/>
      <c r="M38" s="621"/>
      <c r="N38" s="621"/>
      <c r="O38" s="621"/>
      <c r="P38" s="621"/>
      <c r="Q38" s="621"/>
      <c r="R38" s="621"/>
      <c r="S38" s="621"/>
      <c r="T38" s="621"/>
      <c r="U38" s="621"/>
      <c r="V38" s="621"/>
      <c r="W38" s="621"/>
      <c r="X38" s="621"/>
      <c r="Y38" s="621"/>
      <c r="Z38" s="621"/>
    </row>
    <row r="39" spans="1:26">
      <c r="A39" s="621"/>
      <c r="B39" s="621"/>
      <c r="C39" s="621"/>
      <c r="D39" s="621"/>
      <c r="E39" s="621"/>
      <c r="F39" s="621"/>
      <c r="G39" s="621"/>
      <c r="H39" s="621"/>
      <c r="I39" s="621"/>
      <c r="J39" s="621"/>
      <c r="K39" s="621"/>
      <c r="L39" s="621"/>
      <c r="M39" s="621"/>
      <c r="N39" s="621"/>
      <c r="O39" s="621"/>
      <c r="P39" s="621"/>
      <c r="Q39" s="621"/>
      <c r="R39" s="621"/>
      <c r="S39" s="621"/>
      <c r="T39" s="621"/>
      <c r="U39" s="621"/>
      <c r="V39" s="621"/>
      <c r="W39" s="621"/>
      <c r="X39" s="621"/>
      <c r="Y39" s="621"/>
      <c r="Z39" s="621"/>
    </row>
    <row r="40" spans="1:26">
      <c r="A40" s="621"/>
      <c r="B40" s="621"/>
      <c r="C40" s="621"/>
      <c r="D40" s="621"/>
      <c r="E40" s="621"/>
      <c r="F40" s="621"/>
      <c r="G40" s="621"/>
      <c r="H40" s="621"/>
      <c r="I40" s="621"/>
      <c r="J40" s="621"/>
      <c r="K40" s="621"/>
      <c r="L40" s="621"/>
      <c r="M40" s="621"/>
      <c r="N40" s="621"/>
      <c r="O40" s="621"/>
      <c r="P40" s="621"/>
      <c r="Q40" s="621"/>
      <c r="R40" s="621"/>
      <c r="S40" s="621"/>
      <c r="T40" s="621"/>
      <c r="U40" s="621"/>
      <c r="V40" s="621"/>
      <c r="W40" s="621"/>
      <c r="X40" s="621"/>
      <c r="Y40" s="621"/>
      <c r="Z40" s="621"/>
    </row>
    <row r="41" spans="1:26">
      <c r="A41" s="621"/>
      <c r="B41" s="621"/>
      <c r="C41" s="621"/>
      <c r="D41" s="621"/>
      <c r="E41" s="621"/>
      <c r="F41" s="621"/>
      <c r="G41" s="621"/>
      <c r="H41" s="621"/>
      <c r="I41" s="621"/>
      <c r="J41" s="621"/>
      <c r="K41" s="621"/>
      <c r="L41" s="621"/>
      <c r="M41" s="621"/>
      <c r="N41" s="621"/>
      <c r="O41" s="621"/>
      <c r="P41" s="621"/>
      <c r="Q41" s="621"/>
      <c r="R41" s="621"/>
      <c r="S41" s="621"/>
      <c r="T41" s="621"/>
      <c r="U41" s="621"/>
      <c r="V41" s="621"/>
      <c r="W41" s="621"/>
      <c r="X41" s="621"/>
      <c r="Y41" s="621"/>
      <c r="Z41" s="621"/>
    </row>
    <row r="42" spans="1:26">
      <c r="A42" s="621"/>
      <c r="B42" s="621"/>
      <c r="C42" s="621"/>
      <c r="D42" s="621"/>
      <c r="E42" s="621"/>
      <c r="F42" s="621"/>
      <c r="G42" s="621"/>
      <c r="H42" s="621"/>
      <c r="I42" s="621"/>
      <c r="J42" s="621"/>
      <c r="K42" s="621"/>
      <c r="L42" s="621"/>
      <c r="M42" s="621"/>
      <c r="N42" s="621"/>
      <c r="O42" s="621"/>
      <c r="P42" s="621"/>
      <c r="Q42" s="621"/>
      <c r="R42" s="621"/>
      <c r="S42" s="621"/>
      <c r="T42" s="621"/>
      <c r="U42" s="621"/>
      <c r="V42" s="621"/>
      <c r="W42" s="621"/>
      <c r="X42" s="621"/>
      <c r="Y42" s="621"/>
      <c r="Z42" s="621"/>
    </row>
    <row r="43" spans="1:26">
      <c r="A43" s="621"/>
      <c r="B43" s="621"/>
      <c r="C43" s="621"/>
      <c r="D43" s="621"/>
      <c r="E43" s="621"/>
      <c r="F43" s="621"/>
      <c r="G43" s="621"/>
      <c r="H43" s="621"/>
      <c r="I43" s="621"/>
      <c r="J43" s="621"/>
      <c r="K43" s="621"/>
      <c r="L43" s="621"/>
      <c r="M43" s="621"/>
      <c r="N43" s="621"/>
      <c r="O43" s="621"/>
      <c r="P43" s="621"/>
      <c r="Q43" s="621"/>
      <c r="R43" s="621"/>
      <c r="S43" s="621"/>
      <c r="T43" s="621"/>
      <c r="U43" s="621"/>
      <c r="V43" s="621"/>
      <c r="W43" s="621"/>
      <c r="X43" s="621"/>
      <c r="Y43" s="621"/>
      <c r="Z43" s="621"/>
    </row>
    <row r="44" spans="1:26">
      <c r="A44" s="621"/>
      <c r="B44" s="621"/>
      <c r="C44" s="621"/>
      <c r="D44" s="621"/>
      <c r="E44" s="621"/>
      <c r="F44" s="621"/>
      <c r="G44" s="621"/>
      <c r="H44" s="621"/>
      <c r="I44" s="621"/>
      <c r="J44" s="621"/>
      <c r="K44" s="621"/>
      <c r="L44" s="621"/>
      <c r="M44" s="621"/>
      <c r="N44" s="621"/>
      <c r="O44" s="621"/>
      <c r="P44" s="621"/>
      <c r="Q44" s="621"/>
      <c r="R44" s="621"/>
      <c r="S44" s="621"/>
      <c r="T44" s="621"/>
      <c r="U44" s="621"/>
      <c r="V44" s="621"/>
      <c r="W44" s="621"/>
      <c r="X44" s="621"/>
      <c r="Y44" s="621"/>
      <c r="Z44" s="621"/>
    </row>
    <row r="45" spans="1:26">
      <c r="A45" s="621"/>
      <c r="B45" s="621"/>
      <c r="C45" s="621"/>
      <c r="D45" s="621"/>
      <c r="E45" s="621"/>
      <c r="F45" s="621"/>
      <c r="G45" s="621"/>
      <c r="H45" s="621"/>
      <c r="I45" s="621"/>
      <c r="J45" s="621"/>
      <c r="K45" s="621"/>
      <c r="L45" s="621"/>
      <c r="M45" s="621"/>
      <c r="N45" s="621"/>
      <c r="O45" s="621"/>
      <c r="P45" s="621"/>
      <c r="Q45" s="621"/>
      <c r="R45" s="621"/>
      <c r="S45" s="621"/>
      <c r="T45" s="621"/>
      <c r="U45" s="621"/>
      <c r="V45" s="621"/>
      <c r="W45" s="621"/>
      <c r="X45" s="621"/>
      <c r="Y45" s="621"/>
      <c r="Z45" s="621"/>
    </row>
    <row r="46" spans="1:26">
      <c r="A46" s="621"/>
      <c r="B46" s="621"/>
      <c r="C46" s="621"/>
      <c r="D46" s="621"/>
      <c r="E46" s="621"/>
      <c r="F46" s="621"/>
      <c r="G46" s="621"/>
      <c r="H46" s="621"/>
      <c r="I46" s="621"/>
      <c r="J46" s="621"/>
      <c r="K46" s="621"/>
      <c r="L46" s="621"/>
      <c r="M46" s="621"/>
      <c r="N46" s="621"/>
      <c r="O46" s="621"/>
      <c r="P46" s="621"/>
      <c r="Q46" s="621"/>
      <c r="R46" s="621"/>
      <c r="S46" s="621"/>
      <c r="T46" s="621"/>
      <c r="U46" s="621"/>
      <c r="V46" s="621"/>
      <c r="W46" s="621"/>
      <c r="X46" s="621"/>
      <c r="Y46" s="621"/>
      <c r="Z46" s="621"/>
    </row>
    <row r="47" spans="1:26">
      <c r="A47" s="621"/>
      <c r="B47" s="621"/>
      <c r="C47" s="621"/>
      <c r="D47" s="621"/>
      <c r="E47" s="621"/>
      <c r="F47" s="621"/>
      <c r="G47" s="621"/>
      <c r="H47" s="621"/>
      <c r="I47" s="621"/>
      <c r="J47" s="621"/>
      <c r="K47" s="621"/>
      <c r="L47" s="621"/>
      <c r="M47" s="621"/>
      <c r="N47" s="621"/>
      <c r="O47" s="621"/>
      <c r="P47" s="621"/>
      <c r="Q47" s="621"/>
      <c r="R47" s="621"/>
      <c r="S47" s="621"/>
      <c r="T47" s="621"/>
      <c r="U47" s="621"/>
      <c r="V47" s="621"/>
      <c r="W47" s="621"/>
      <c r="X47" s="621"/>
      <c r="Y47" s="621"/>
      <c r="Z47" s="621"/>
    </row>
    <row r="48" spans="1:26">
      <c r="A48" s="621"/>
      <c r="B48" s="621"/>
      <c r="C48" s="621"/>
      <c r="D48" s="621"/>
      <c r="E48" s="621"/>
      <c r="F48" s="621"/>
      <c r="G48" s="621"/>
      <c r="H48" s="621"/>
      <c r="I48" s="621"/>
      <c r="J48" s="621"/>
      <c r="K48" s="621"/>
      <c r="L48" s="621"/>
      <c r="M48" s="621"/>
      <c r="N48" s="621"/>
      <c r="O48" s="621"/>
      <c r="P48" s="621"/>
      <c r="Q48" s="621"/>
      <c r="R48" s="621"/>
      <c r="S48" s="621"/>
      <c r="T48" s="621"/>
      <c r="U48" s="621"/>
      <c r="V48" s="621"/>
      <c r="W48" s="621"/>
      <c r="X48" s="621"/>
      <c r="Y48" s="621"/>
      <c r="Z48" s="621"/>
    </row>
    <row r="49" spans="1:26">
      <c r="A49" s="621"/>
      <c r="B49" s="621"/>
      <c r="C49" s="621"/>
      <c r="D49" s="621"/>
      <c r="E49" s="621"/>
      <c r="F49" s="621"/>
      <c r="G49" s="621"/>
      <c r="H49" s="621"/>
      <c r="I49" s="621"/>
      <c r="J49" s="621"/>
      <c r="K49" s="621"/>
      <c r="L49" s="621"/>
      <c r="M49" s="621"/>
      <c r="N49" s="621"/>
      <c r="O49" s="621"/>
      <c r="P49" s="621"/>
      <c r="Q49" s="621"/>
      <c r="R49" s="621"/>
      <c r="S49" s="621"/>
      <c r="T49" s="621"/>
      <c r="U49" s="621"/>
      <c r="V49" s="621"/>
      <c r="W49" s="621"/>
      <c r="X49" s="621"/>
      <c r="Y49" s="621"/>
      <c r="Z49" s="621"/>
    </row>
    <row r="50" spans="1:26">
      <c r="A50" s="621"/>
      <c r="B50" s="621"/>
      <c r="C50" s="621"/>
      <c r="D50" s="621"/>
      <c r="E50" s="621"/>
      <c r="F50" s="621"/>
      <c r="G50" s="621"/>
      <c r="H50" s="621"/>
      <c r="I50" s="621"/>
      <c r="J50" s="621"/>
      <c r="K50" s="621"/>
      <c r="L50" s="621"/>
      <c r="M50" s="621"/>
      <c r="N50" s="621"/>
      <c r="O50" s="621"/>
      <c r="P50" s="621"/>
      <c r="Q50" s="621"/>
      <c r="R50" s="621"/>
      <c r="S50" s="621"/>
      <c r="T50" s="621"/>
      <c r="U50" s="621"/>
      <c r="V50" s="621"/>
      <c r="W50" s="621"/>
      <c r="X50" s="621"/>
      <c r="Y50" s="621"/>
      <c r="Z50" s="621"/>
    </row>
    <row r="51" spans="1:26">
      <c r="A51" s="621"/>
      <c r="B51" s="621"/>
      <c r="C51" s="621"/>
      <c r="D51" s="621"/>
      <c r="E51" s="621"/>
      <c r="F51" s="621"/>
      <c r="G51" s="621"/>
      <c r="H51" s="621"/>
      <c r="I51" s="621"/>
      <c r="J51" s="621"/>
      <c r="K51" s="621"/>
      <c r="L51" s="621"/>
      <c r="M51" s="621"/>
      <c r="N51" s="621"/>
      <c r="O51" s="621"/>
      <c r="P51" s="621"/>
      <c r="Q51" s="621"/>
      <c r="R51" s="621"/>
      <c r="S51" s="621"/>
      <c r="T51" s="621"/>
      <c r="U51" s="621"/>
      <c r="V51" s="621"/>
      <c r="W51" s="621"/>
      <c r="X51" s="621"/>
      <c r="Y51" s="621"/>
      <c r="Z51" s="621"/>
    </row>
    <row r="52" spans="1:26">
      <c r="A52" s="621"/>
      <c r="B52" s="621"/>
      <c r="C52" s="621"/>
      <c r="D52" s="621"/>
      <c r="E52" s="621"/>
      <c r="F52" s="621"/>
      <c r="G52" s="621"/>
      <c r="H52" s="621"/>
      <c r="I52" s="621"/>
      <c r="J52" s="621"/>
      <c r="K52" s="621"/>
      <c r="L52" s="621"/>
      <c r="M52" s="621"/>
      <c r="N52" s="621"/>
      <c r="O52" s="621"/>
      <c r="P52" s="621"/>
      <c r="Q52" s="621"/>
      <c r="R52" s="621"/>
      <c r="S52" s="621"/>
      <c r="T52" s="621"/>
      <c r="U52" s="621"/>
      <c r="V52" s="621"/>
      <c r="W52" s="621"/>
      <c r="X52" s="621"/>
      <c r="Y52" s="621"/>
      <c r="Z52" s="621"/>
    </row>
    <row r="53" spans="1:26">
      <c r="A53" s="621"/>
      <c r="B53" s="621"/>
      <c r="C53" s="621"/>
      <c r="D53" s="621"/>
      <c r="E53" s="621"/>
      <c r="F53" s="621"/>
      <c r="G53" s="621"/>
      <c r="H53" s="621"/>
      <c r="I53" s="621"/>
      <c r="J53" s="621"/>
      <c r="K53" s="621"/>
      <c r="L53" s="621"/>
      <c r="M53" s="621"/>
      <c r="N53" s="621"/>
      <c r="O53" s="621"/>
      <c r="P53" s="621"/>
      <c r="Q53" s="621"/>
      <c r="R53" s="621"/>
      <c r="S53" s="621"/>
      <c r="T53" s="621"/>
      <c r="U53" s="621"/>
      <c r="V53" s="621"/>
      <c r="W53" s="621"/>
      <c r="X53" s="621"/>
      <c r="Y53" s="621"/>
      <c r="Z53" s="621"/>
    </row>
  </sheetData>
  <mergeCells count="6">
    <mergeCell ref="K2:M2"/>
    <mergeCell ref="N2:P2"/>
    <mergeCell ref="Q2:S2"/>
    <mergeCell ref="E2:G2"/>
    <mergeCell ref="B2:D2"/>
    <mergeCell ref="H2:J2"/>
  </mergeCell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FFC000"/>
  </sheetPr>
  <dimension ref="A1:AA45"/>
  <sheetViews>
    <sheetView workbookViewId="0">
      <selection activeCell="C6" sqref="C6"/>
    </sheetView>
  </sheetViews>
  <sheetFormatPr baseColWidth="10" defaultColWidth="8.83203125" defaultRowHeight="13"/>
  <cols>
    <col min="1" max="1" width="17.83203125" customWidth="1"/>
    <col min="2" max="2" width="26.83203125" customWidth="1"/>
    <col min="3" max="3" width="18.5" customWidth="1"/>
    <col min="5" max="5" width="15.33203125" customWidth="1"/>
    <col min="8" max="8" width="15.6640625" customWidth="1"/>
    <col min="10" max="10" width="14.33203125" customWidth="1"/>
    <col min="12" max="12" width="9.6640625" bestFit="1" customWidth="1"/>
    <col min="17" max="17" width="12.83203125" bestFit="1" customWidth="1"/>
    <col min="19" max="19" width="12.83203125" bestFit="1" customWidth="1"/>
  </cols>
  <sheetData>
    <row r="1" spans="1:27" ht="21" thickBot="1">
      <c r="A1" s="935" t="s">
        <v>644</v>
      </c>
      <c r="B1" s="601" t="s">
        <v>27</v>
      </c>
      <c r="C1" s="103" t="s">
        <v>369</v>
      </c>
      <c r="D1" s="104"/>
      <c r="E1" s="104"/>
      <c r="F1" s="104"/>
      <c r="G1" s="104"/>
      <c r="H1" s="104"/>
      <c r="I1" s="104"/>
      <c r="J1" s="104"/>
      <c r="K1" s="104"/>
      <c r="L1" s="104"/>
      <c r="M1" s="104"/>
      <c r="N1" s="104"/>
      <c r="O1" s="104"/>
      <c r="P1" s="104"/>
      <c r="Q1" s="507"/>
      <c r="R1" s="507"/>
      <c r="S1" s="104"/>
      <c r="T1" s="104"/>
      <c r="U1" s="104"/>
      <c r="V1" s="104"/>
      <c r="W1" s="104"/>
      <c r="X1" s="104"/>
      <c r="Y1" s="104"/>
      <c r="Z1" s="104"/>
      <c r="AA1" s="104"/>
    </row>
    <row r="2" spans="1:27" ht="21" thickBot="1">
      <c r="A2" s="1"/>
      <c r="B2" s="99"/>
      <c r="C2" s="100"/>
      <c r="D2" s="101"/>
      <c r="E2" s="101"/>
      <c r="F2" s="101"/>
      <c r="G2" s="123"/>
      <c r="H2" s="101"/>
      <c r="I2" s="101"/>
      <c r="J2" s="101"/>
      <c r="K2" s="101"/>
      <c r="L2" s="101"/>
      <c r="M2" s="101"/>
      <c r="N2" s="101"/>
      <c r="O2" s="101"/>
      <c r="P2" s="101"/>
      <c r="Q2" s="101"/>
      <c r="R2" s="101"/>
      <c r="S2" s="101"/>
      <c r="T2" s="101"/>
      <c r="U2" s="101"/>
      <c r="V2" s="101"/>
      <c r="W2" s="101"/>
      <c r="X2" s="101"/>
      <c r="Y2" s="101"/>
      <c r="Z2" s="101"/>
      <c r="AA2" s="101"/>
    </row>
    <row r="3" spans="1:27" ht="21" thickBot="1">
      <c r="A3" s="1"/>
      <c r="B3" s="99"/>
      <c r="C3" s="100"/>
      <c r="D3" s="101"/>
      <c r="E3" s="101"/>
      <c r="F3" s="101"/>
      <c r="G3" s="124" t="s">
        <v>140</v>
      </c>
      <c r="H3" s="101"/>
      <c r="I3" s="101"/>
      <c r="J3" s="101"/>
      <c r="K3" s="101"/>
      <c r="L3" s="101"/>
      <c r="M3" s="101"/>
      <c r="N3" s="101"/>
      <c r="O3" s="101"/>
      <c r="P3" s="101"/>
      <c r="Q3" s="977" t="s">
        <v>579</v>
      </c>
      <c r="R3" s="978"/>
      <c r="S3" s="978"/>
      <c r="T3" s="101"/>
      <c r="U3" s="101"/>
      <c r="V3" s="101"/>
      <c r="W3" s="101"/>
      <c r="X3" s="101"/>
      <c r="Y3" s="101"/>
      <c r="Z3" s="101"/>
      <c r="AA3" s="101"/>
    </row>
    <row r="4" spans="1:27" ht="16">
      <c r="A4" s="1"/>
      <c r="B4" s="1"/>
      <c r="C4" s="237" t="s">
        <v>108</v>
      </c>
      <c r="D4" s="1"/>
      <c r="E4" s="238" t="s">
        <v>116</v>
      </c>
      <c r="F4" s="1"/>
      <c r="G4" s="1"/>
      <c r="H4" s="238" t="s">
        <v>30</v>
      </c>
      <c r="I4" s="1"/>
      <c r="J4" s="238" t="s">
        <v>171</v>
      </c>
      <c r="K4" s="1"/>
      <c r="L4" s="239" t="s">
        <v>575</v>
      </c>
      <c r="M4" s="1"/>
      <c r="N4" s="1"/>
      <c r="O4" s="243" t="s">
        <v>576</v>
      </c>
      <c r="P4" s="1"/>
      <c r="Q4" s="347" t="s">
        <v>577</v>
      </c>
      <c r="R4" s="1"/>
      <c r="S4" s="347" t="s">
        <v>578</v>
      </c>
      <c r="T4" s="1"/>
      <c r="U4" s="1"/>
      <c r="V4" s="1"/>
      <c r="W4" s="1"/>
      <c r="X4" s="1"/>
      <c r="Y4" s="1"/>
      <c r="Z4" s="1"/>
      <c r="AA4" s="1"/>
    </row>
    <row r="5" spans="1:27" ht="16">
      <c r="A5" s="1"/>
      <c r="B5" s="1"/>
      <c r="C5" s="237"/>
      <c r="D5" s="1"/>
      <c r="E5" s="238"/>
      <c r="F5" s="1"/>
      <c r="G5" s="1"/>
      <c r="H5" s="238"/>
      <c r="I5" s="1"/>
      <c r="J5" s="1"/>
      <c r="K5" s="1"/>
      <c r="L5" s="1"/>
      <c r="M5" s="1"/>
      <c r="N5" s="1"/>
      <c r="O5" s="1"/>
      <c r="P5" s="1"/>
      <c r="Q5" s="1"/>
      <c r="R5" s="1"/>
      <c r="S5" s="1"/>
      <c r="T5" s="1"/>
      <c r="U5" s="1"/>
      <c r="V5" s="1"/>
      <c r="W5" s="1"/>
      <c r="X5" s="1"/>
      <c r="Y5" s="1"/>
      <c r="Z5" s="1"/>
      <c r="AA5" s="1"/>
    </row>
    <row r="6" spans="1:27" ht="18">
      <c r="A6" s="1"/>
      <c r="B6" s="240" t="s">
        <v>370</v>
      </c>
      <c r="C6" s="250">
        <v>24025</v>
      </c>
      <c r="D6" s="241" t="s">
        <v>28</v>
      </c>
      <c r="E6" s="242">
        <f>299.8/C6</f>
        <v>1.2478668054110303E-2</v>
      </c>
      <c r="F6" s="243" t="s">
        <v>29</v>
      </c>
      <c r="G6" s="243"/>
      <c r="H6" s="244">
        <f>22+20*LOG10(('4A-Orbit'!K26*1000)/E6)</f>
        <v>212.02056115883789</v>
      </c>
      <c r="I6" s="243" t="s">
        <v>31</v>
      </c>
      <c r="J6" s="245">
        <f>'4A-Orbit'!K26</f>
        <v>39554.535616248992</v>
      </c>
      <c r="K6" s="243" t="s">
        <v>172</v>
      </c>
      <c r="L6" s="246">
        <f>'4A-Orbit'!G26</f>
        <v>20</v>
      </c>
      <c r="M6" s="247" t="s">
        <v>173</v>
      </c>
      <c r="N6" s="1"/>
      <c r="O6" s="594">
        <f>'3-Link Scenario Planner'!E9</f>
        <v>0.01</v>
      </c>
      <c r="P6" s="249" t="s">
        <v>28</v>
      </c>
      <c r="Q6" s="614">
        <f>C6-(O6/2)</f>
        <v>24024.994999999999</v>
      </c>
      <c r="R6" s="243" t="s">
        <v>28</v>
      </c>
      <c r="S6" s="614">
        <f>C6+(O6/2)</f>
        <v>24025.005000000001</v>
      </c>
      <c r="T6" s="243" t="s">
        <v>28</v>
      </c>
      <c r="U6" s="1"/>
      <c r="V6" s="1"/>
      <c r="W6" s="1"/>
      <c r="X6" s="1"/>
      <c r="Y6" s="1"/>
      <c r="Z6" s="1"/>
      <c r="AA6" s="1"/>
    </row>
    <row r="7" spans="1:27" ht="18">
      <c r="A7" s="977" t="s">
        <v>174</v>
      </c>
      <c r="B7" s="977"/>
      <c r="C7" s="248"/>
      <c r="D7" s="241"/>
      <c r="E7" s="242"/>
      <c r="F7" s="243"/>
      <c r="G7" s="243"/>
      <c r="H7" s="244"/>
      <c r="I7" s="243"/>
      <c r="J7" s="1"/>
      <c r="K7" s="1"/>
      <c r="L7" s="1"/>
      <c r="M7" s="1"/>
      <c r="N7" s="1"/>
      <c r="O7" s="1"/>
      <c r="P7" s="1"/>
      <c r="Q7" s="1"/>
      <c r="R7" s="1"/>
      <c r="S7" s="1"/>
      <c r="T7" s="1"/>
      <c r="U7" s="1"/>
      <c r="V7" s="1"/>
      <c r="W7" s="1"/>
      <c r="X7" s="1"/>
      <c r="Y7" s="1"/>
      <c r="Z7" s="1"/>
      <c r="AA7" s="1"/>
    </row>
    <row r="8" spans="1:27" ht="12.75" customHeight="1">
      <c r="A8" s="1"/>
      <c r="B8" s="240"/>
      <c r="C8" s="248"/>
      <c r="D8" s="241"/>
      <c r="E8" s="242"/>
      <c r="F8" s="243"/>
      <c r="G8" s="243"/>
      <c r="H8" s="244"/>
      <c r="I8" s="243"/>
      <c r="J8" s="1"/>
      <c r="K8" s="1"/>
      <c r="L8" s="1"/>
      <c r="M8" s="1"/>
      <c r="N8" s="1"/>
      <c r="O8" s="1"/>
      <c r="P8" s="1"/>
      <c r="Q8" s="1"/>
      <c r="R8" s="1"/>
      <c r="S8" s="1"/>
      <c r="T8" s="1"/>
      <c r="U8" s="1"/>
      <c r="V8" s="1"/>
      <c r="W8" s="1"/>
      <c r="X8" s="1"/>
      <c r="Y8" s="1"/>
      <c r="Z8" s="1"/>
      <c r="AA8" s="1"/>
    </row>
    <row r="9" spans="1:27" ht="18">
      <c r="A9" s="1"/>
      <c r="B9" s="240"/>
      <c r="C9" s="248"/>
      <c r="D9" s="241"/>
      <c r="E9" s="242"/>
      <c r="F9" s="243"/>
      <c r="G9" s="243"/>
      <c r="H9" s="249" t="s">
        <v>117</v>
      </c>
      <c r="I9" s="243"/>
      <c r="J9" s="249"/>
      <c r="K9" s="1"/>
      <c r="L9" s="1"/>
      <c r="M9" s="1"/>
      <c r="N9" s="1"/>
      <c r="O9" s="1"/>
      <c r="P9" s="1"/>
      <c r="Q9" s="1"/>
      <c r="R9" s="1"/>
      <c r="S9" s="1"/>
      <c r="T9" s="1"/>
      <c r="U9" s="1"/>
      <c r="V9" s="1"/>
      <c r="W9" s="1"/>
      <c r="X9" s="1"/>
      <c r="Y9" s="1"/>
      <c r="Z9" s="1"/>
      <c r="AA9" s="1"/>
    </row>
    <row r="10" spans="1:27" ht="12.75" customHeight="1">
      <c r="A10" s="1"/>
      <c r="B10" s="240"/>
      <c r="C10" s="248"/>
      <c r="D10" s="241"/>
      <c r="E10" s="242"/>
      <c r="F10" s="243"/>
      <c r="G10" s="243"/>
      <c r="H10" s="244"/>
      <c r="I10" s="243"/>
      <c r="J10" s="1"/>
      <c r="K10" s="1"/>
      <c r="L10" s="1"/>
      <c r="M10" s="1"/>
      <c r="N10" s="1"/>
      <c r="O10" s="1"/>
      <c r="P10" s="1"/>
      <c r="Q10" s="1"/>
      <c r="R10" s="1"/>
      <c r="S10" s="1"/>
      <c r="T10" s="1"/>
      <c r="U10" s="1"/>
      <c r="V10" s="1"/>
      <c r="W10" s="1"/>
      <c r="X10" s="1"/>
      <c r="Y10" s="1"/>
      <c r="Z10" s="1"/>
      <c r="AA10" s="1"/>
    </row>
    <row r="11" spans="1:27" ht="16">
      <c r="A11" s="1"/>
      <c r="B11" s="1"/>
      <c r="C11" s="347" t="s">
        <v>3</v>
      </c>
      <c r="D11" s="1"/>
      <c r="E11" s="1"/>
      <c r="F11" s="1"/>
      <c r="G11" s="1"/>
      <c r="H11" s="1"/>
      <c r="I11" s="1"/>
      <c r="J11" s="249"/>
      <c r="K11" s="1"/>
      <c r="L11" s="1"/>
      <c r="M11" s="1"/>
      <c r="N11" s="1"/>
      <c r="O11" s="102"/>
      <c r="P11" s="1"/>
      <c r="Q11" s="1"/>
      <c r="R11" s="1"/>
      <c r="S11" s="1"/>
      <c r="T11" s="1"/>
      <c r="U11" s="1"/>
      <c r="V11" s="1"/>
      <c r="W11" s="1"/>
      <c r="X11" s="1"/>
      <c r="Y11" s="1"/>
      <c r="Z11" s="1"/>
      <c r="AA11" s="1"/>
    </row>
    <row r="12" spans="1:27" ht="18">
      <c r="A12" s="1"/>
      <c r="B12" s="240" t="s">
        <v>371</v>
      </c>
      <c r="C12" s="250">
        <v>10475</v>
      </c>
      <c r="D12" s="241" t="s">
        <v>28</v>
      </c>
      <c r="E12" s="242">
        <f>299.8/C12</f>
        <v>2.8620525059665874E-2</v>
      </c>
      <c r="F12" s="243" t="s">
        <v>29</v>
      </c>
      <c r="G12" s="243"/>
      <c r="H12" s="244">
        <f>22+20*LOG10(('4A-Orbit'!K26*1000)/E12)</f>
        <v>204.81037386479287</v>
      </c>
      <c r="I12" s="243" t="s">
        <v>31</v>
      </c>
      <c r="J12" s="245">
        <f>'4A-Orbit'!K26</f>
        <v>39554.535616248992</v>
      </c>
      <c r="K12" s="243" t="s">
        <v>8</v>
      </c>
      <c r="L12" s="849">
        <f>'4A-Orbit'!G26</f>
        <v>20</v>
      </c>
      <c r="M12" s="247" t="s">
        <v>173</v>
      </c>
      <c r="N12" s="1"/>
      <c r="O12" s="594">
        <f>'3-Link Scenario Planner'!E11</f>
        <v>1</v>
      </c>
      <c r="P12" s="249" t="s">
        <v>28</v>
      </c>
      <c r="Q12" s="614">
        <f>C12-(O12/2)</f>
        <v>10474.5</v>
      </c>
      <c r="R12" s="243" t="s">
        <v>28</v>
      </c>
      <c r="S12" s="614">
        <f>C12+(O12/2)</f>
        <v>10475.5</v>
      </c>
      <c r="T12" s="243" t="s">
        <v>28</v>
      </c>
      <c r="U12" s="1"/>
      <c r="V12" s="1"/>
      <c r="W12" s="1"/>
      <c r="X12" s="1"/>
      <c r="Y12" s="1"/>
      <c r="Z12" s="1" t="s">
        <v>3</v>
      </c>
      <c r="AA12" s="1"/>
    </row>
    <row r="13" spans="1:27" ht="16">
      <c r="A13" s="977" t="s">
        <v>175</v>
      </c>
      <c r="B13" s="977"/>
      <c r="C13" s="1"/>
      <c r="D13" s="1"/>
      <c r="E13" s="1"/>
      <c r="F13" s="1"/>
      <c r="G13" s="1"/>
      <c r="H13" s="1"/>
      <c r="I13" s="1"/>
      <c r="J13" s="1"/>
      <c r="K13" s="1"/>
      <c r="L13" s="1"/>
      <c r="M13" s="1"/>
      <c r="N13" s="1"/>
      <c r="O13" s="1"/>
      <c r="P13" s="1"/>
      <c r="Q13" s="1"/>
      <c r="R13" s="1"/>
      <c r="S13" s="1"/>
      <c r="T13" s="1"/>
      <c r="U13" s="1"/>
      <c r="V13" s="1"/>
      <c r="W13" s="1"/>
      <c r="X13" s="1"/>
      <c r="Y13" s="1"/>
      <c r="Z13" s="1"/>
      <c r="AA13" s="1"/>
    </row>
    <row r="14" spans="1:27">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c r="A16" s="1"/>
      <c r="B16" s="1"/>
      <c r="C16" s="1"/>
      <c r="D16" s="1"/>
      <c r="E16" s="1"/>
      <c r="F16" s="1"/>
      <c r="G16" s="347" t="s">
        <v>3</v>
      </c>
      <c r="H16" s="1"/>
      <c r="I16" s="1"/>
      <c r="J16" s="1"/>
      <c r="K16" s="1"/>
      <c r="L16" s="1"/>
      <c r="M16" s="1"/>
      <c r="N16" s="1"/>
      <c r="O16" s="1"/>
      <c r="P16" s="1"/>
      <c r="Q16" s="1"/>
      <c r="R16" s="1"/>
      <c r="S16" s="1"/>
      <c r="T16" s="1"/>
      <c r="U16" s="1"/>
      <c r="V16" s="1"/>
      <c r="W16" s="1"/>
      <c r="X16" s="1"/>
      <c r="Y16" s="1"/>
      <c r="Z16" s="1"/>
      <c r="AA16" s="1"/>
    </row>
    <row r="17" spans="1:27">
      <c r="A17" s="1"/>
      <c r="B17" s="1"/>
      <c r="C17" s="1"/>
      <c r="D17" s="1"/>
      <c r="E17" s="1"/>
      <c r="F17" s="1"/>
      <c r="G17" s="1"/>
      <c r="H17" s="1"/>
      <c r="I17" s="1"/>
      <c r="J17" s="1"/>
      <c r="K17" s="1"/>
      <c r="L17" s="1"/>
      <c r="M17" s="1"/>
      <c r="N17" s="1"/>
      <c r="O17" s="1"/>
      <c r="P17" s="1"/>
      <c r="Q17" s="1"/>
      <c r="R17" s="1"/>
      <c r="S17" s="1"/>
      <c r="T17" s="1"/>
      <c r="U17" s="1"/>
      <c r="V17" s="1"/>
      <c r="W17" s="1"/>
      <c r="X17" s="1"/>
      <c r="Y17" s="1"/>
      <c r="Z17" s="1"/>
      <c r="AA17" s="1"/>
    </row>
    <row r="18" spans="1:27">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c r="A19" s="1"/>
      <c r="B19" s="1"/>
      <c r="C19" s="1"/>
      <c r="D19" s="1"/>
      <c r="E19" s="1"/>
      <c r="F19" s="1"/>
      <c r="G19" s="1"/>
      <c r="H19" s="1"/>
      <c r="I19" s="1"/>
      <c r="J19" s="1"/>
      <c r="K19" s="1"/>
      <c r="L19" s="1"/>
      <c r="M19" s="1"/>
      <c r="N19" s="1"/>
      <c r="O19" s="1"/>
      <c r="P19" s="1"/>
      <c r="Q19" s="1"/>
      <c r="R19" s="1"/>
      <c r="S19" s="1"/>
      <c r="T19" s="1"/>
      <c r="U19" s="1"/>
      <c r="V19" s="1"/>
      <c r="W19" s="1"/>
      <c r="X19" s="1"/>
      <c r="Y19" s="1"/>
      <c r="Z19" s="1"/>
      <c r="AA19" s="1"/>
    </row>
    <row r="20" spans="1:27">
      <c r="A20" s="1"/>
      <c r="B20" s="1"/>
      <c r="C20" s="1"/>
      <c r="D20" s="1"/>
      <c r="E20" s="1"/>
      <c r="F20" s="1"/>
      <c r="G20" s="94" t="s">
        <v>140</v>
      </c>
      <c r="H20" s="1"/>
      <c r="I20" s="1"/>
      <c r="J20" s="1"/>
      <c r="K20" s="1"/>
      <c r="L20" s="1"/>
      <c r="M20" s="1"/>
      <c r="N20" s="1"/>
      <c r="O20" s="1"/>
      <c r="P20" s="1"/>
      <c r="Q20" s="1"/>
      <c r="R20" s="1"/>
      <c r="S20" s="1"/>
      <c r="T20" s="1"/>
      <c r="U20" s="1"/>
      <c r="V20" s="1"/>
      <c r="W20" s="1"/>
      <c r="X20" s="1"/>
      <c r="Y20" s="1"/>
      <c r="Z20" s="1"/>
      <c r="AA20" s="1"/>
    </row>
    <row r="21" spans="1:27">
      <c r="A21" s="1"/>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c r="A24" s="1"/>
      <c r="B24" s="1"/>
      <c r="C24" s="1"/>
      <c r="D24" s="1"/>
      <c r="E24" s="1"/>
      <c r="F24" s="1"/>
      <c r="G24" s="1"/>
      <c r="H24" s="1"/>
      <c r="I24" s="1"/>
      <c r="J24" s="1"/>
      <c r="K24" s="1"/>
      <c r="L24" s="1"/>
      <c r="M24" s="1"/>
      <c r="N24" s="1"/>
      <c r="O24" s="347" t="s">
        <v>3</v>
      </c>
      <c r="P24" s="1"/>
      <c r="Q24" s="1"/>
      <c r="R24" s="1"/>
      <c r="S24" s="1"/>
      <c r="T24" s="1"/>
      <c r="U24" s="1"/>
      <c r="V24" s="1"/>
      <c r="W24" s="1"/>
      <c r="X24" s="1"/>
      <c r="Y24" s="1"/>
      <c r="Z24" s="1"/>
      <c r="AA24" s="1"/>
    </row>
    <row r="25" spans="1:27">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c r="A45" s="1"/>
      <c r="B45" s="1"/>
      <c r="C45" s="1"/>
      <c r="D45" s="1"/>
      <c r="E45" s="1"/>
      <c r="F45" s="1"/>
      <c r="G45" s="1"/>
      <c r="H45" s="1"/>
      <c r="I45" s="1"/>
      <c r="J45" s="1"/>
      <c r="K45" s="1"/>
      <c r="L45" s="1"/>
      <c r="M45" s="1"/>
      <c r="N45" s="1"/>
      <c r="O45" s="1"/>
      <c r="P45" s="1"/>
      <c r="Q45" s="1"/>
      <c r="R45" s="1"/>
      <c r="S45" s="1"/>
      <c r="T45" s="1"/>
      <c r="U45" s="1"/>
      <c r="V45" s="1"/>
      <c r="W45" s="1"/>
      <c r="X45" s="1"/>
      <c r="Y45" s="1"/>
      <c r="Z45" s="1"/>
      <c r="AA45" s="1"/>
    </row>
  </sheetData>
  <mergeCells count="3">
    <mergeCell ref="A7:B7"/>
    <mergeCell ref="A13:B13"/>
    <mergeCell ref="Q3:S3"/>
  </mergeCells>
  <phoneticPr fontId="0" type="noConversion"/>
  <pageMargins left="0.7" right="0.7" top="0.75" bottom="0.75" header="0.3" footer="0.3"/>
  <pageSetup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FF00"/>
  </sheetPr>
  <dimension ref="A1:AC220"/>
  <sheetViews>
    <sheetView topLeftCell="A88" zoomScaleNormal="100" workbookViewId="0">
      <selection activeCell="J11" sqref="J11"/>
    </sheetView>
  </sheetViews>
  <sheetFormatPr baseColWidth="10" defaultColWidth="8.83203125" defaultRowHeight="13"/>
  <cols>
    <col min="1" max="1" width="10.83203125" customWidth="1"/>
    <col min="2" max="2" width="35.6640625" customWidth="1"/>
    <col min="3" max="3" width="9.83203125" bestFit="1" customWidth="1"/>
    <col min="4" max="4" width="10.6640625" customWidth="1"/>
    <col min="7" max="7" width="15.6640625" customWidth="1"/>
    <col min="8" max="8" width="32.5" customWidth="1"/>
    <col min="9" max="9" width="4.1640625" customWidth="1"/>
    <col min="10" max="10" width="13.5" customWidth="1"/>
    <col min="12" max="12" width="11.5" customWidth="1"/>
    <col min="13" max="13" width="11.33203125" customWidth="1"/>
    <col min="15" max="16" width="9.33203125" bestFit="1" customWidth="1"/>
    <col min="21" max="21" width="9.33203125" bestFit="1" customWidth="1"/>
  </cols>
  <sheetData>
    <row r="1" spans="1:28" ht="29" thickBot="1">
      <c r="A1" s="853" t="s">
        <v>646</v>
      </c>
      <c r="B1" s="595" t="s">
        <v>748</v>
      </c>
      <c r="C1" s="16"/>
      <c r="D1" s="16"/>
      <c r="E1" s="16"/>
      <c r="F1" s="16"/>
      <c r="G1" s="16"/>
      <c r="H1" s="361" t="str">
        <f>'1-Title Page'!F3</f>
        <v>mmW Digital Transponder -  Data Link Using DVB S2(X)</v>
      </c>
      <c r="I1" s="41"/>
      <c r="J1" s="596" t="str">
        <f>'1-Title Page'!F7</f>
        <v>Jan A. King/ W3GEY, Brian R. Jones</v>
      </c>
      <c r="K1" s="41"/>
      <c r="L1" s="41"/>
      <c r="M1" s="596" t="str">
        <f>'1-Title Page'!G1</f>
        <v xml:space="preserve"> Version: 7.0.3</v>
      </c>
      <c r="N1" s="41"/>
      <c r="O1" s="16"/>
      <c r="P1" s="16"/>
      <c r="Q1" s="16"/>
      <c r="R1" s="16"/>
      <c r="S1" s="16"/>
      <c r="T1" s="16"/>
      <c r="U1" s="16"/>
      <c r="V1" s="16"/>
      <c r="W1" s="16"/>
      <c r="X1" s="16"/>
      <c r="Y1" s="16"/>
      <c r="Z1" s="16"/>
      <c r="AA1" s="17"/>
      <c r="AB1" s="49"/>
    </row>
    <row r="2" spans="1:28" ht="17" thickBot="1">
      <c r="A2" s="343" t="s">
        <v>349</v>
      </c>
      <c r="B2" s="135"/>
      <c r="C2" s="124" t="s">
        <v>140</v>
      </c>
      <c r="D2" s="1"/>
      <c r="E2" s="1"/>
      <c r="F2" s="80"/>
      <c r="G2" s="1"/>
      <c r="H2" s="1"/>
      <c r="I2" s="1"/>
      <c r="J2" s="1"/>
      <c r="K2" s="1"/>
      <c r="L2" s="1"/>
      <c r="M2" s="1"/>
      <c r="N2" s="1"/>
      <c r="O2" s="1"/>
      <c r="P2" s="1"/>
      <c r="Q2" s="1"/>
      <c r="R2" s="1"/>
      <c r="S2" s="1"/>
      <c r="T2" s="1"/>
      <c r="U2" s="1"/>
      <c r="V2" s="1"/>
      <c r="W2" s="1"/>
      <c r="X2" s="1"/>
      <c r="Y2" s="1"/>
      <c r="Z2" s="1"/>
      <c r="AA2" s="1"/>
    </row>
    <row r="3" spans="1:28">
      <c r="A3" s="1"/>
      <c r="B3" s="1"/>
      <c r="C3" s="69" t="s">
        <v>3</v>
      </c>
      <c r="D3" s="1"/>
      <c r="E3" s="1"/>
      <c r="F3" s="80"/>
      <c r="G3" s="1"/>
      <c r="H3" s="1"/>
      <c r="I3" s="1"/>
      <c r="J3" s="1"/>
      <c r="K3" s="1"/>
      <c r="L3" s="1"/>
      <c r="M3" s="1"/>
      <c r="N3" s="1"/>
      <c r="O3" s="1"/>
      <c r="P3" s="1"/>
      <c r="Q3" s="1"/>
      <c r="R3" s="1"/>
      <c r="S3" s="1"/>
      <c r="T3" s="1"/>
      <c r="U3" s="1"/>
      <c r="V3" s="1"/>
      <c r="W3" s="1"/>
      <c r="X3" s="1"/>
      <c r="Y3" s="1"/>
      <c r="Z3" s="1"/>
      <c r="AA3" s="1"/>
    </row>
    <row r="4" spans="1:28">
      <c r="A4" s="1"/>
      <c r="B4" s="1"/>
      <c r="C4" s="1"/>
      <c r="D4" s="1"/>
      <c r="E4" s="1"/>
      <c r="F4" s="80"/>
      <c r="G4" s="1"/>
      <c r="H4" s="1"/>
      <c r="I4" s="1"/>
      <c r="J4" s="1"/>
      <c r="K4" s="1"/>
      <c r="L4" s="1"/>
      <c r="M4" s="1"/>
      <c r="N4" s="1"/>
      <c r="O4" s="1"/>
      <c r="P4" s="1"/>
      <c r="Q4" s="1"/>
      <c r="R4" s="1"/>
      <c r="S4" s="1"/>
      <c r="T4" s="1"/>
      <c r="U4" s="1"/>
      <c r="V4" s="1"/>
      <c r="W4" s="1"/>
      <c r="X4" s="1"/>
      <c r="Y4" s="1"/>
      <c r="Z4" s="1"/>
      <c r="AA4" s="1"/>
    </row>
    <row r="5" spans="1:28">
      <c r="A5" s="1"/>
      <c r="B5" s="85" t="s">
        <v>350</v>
      </c>
      <c r="C5" s="1"/>
      <c r="D5" s="78">
        <f>'5-Frequency'!C6</f>
        <v>24025</v>
      </c>
      <c r="E5" s="76" t="s">
        <v>28</v>
      </c>
      <c r="F5" s="80"/>
      <c r="G5" s="1"/>
      <c r="H5" s="85" t="s">
        <v>393</v>
      </c>
      <c r="I5" s="69"/>
      <c r="J5" s="445">
        <f>D5-D9/2</f>
        <v>24024.994999999999</v>
      </c>
      <c r="K5" s="76" t="s">
        <v>28</v>
      </c>
      <c r="L5" s="74" t="s">
        <v>109</v>
      </c>
      <c r="M5" s="445">
        <f>D5+D9/2</f>
        <v>24025.005000000001</v>
      </c>
      <c r="N5" s="76" t="s">
        <v>28</v>
      </c>
      <c r="O5" s="1"/>
      <c r="P5" s="1"/>
      <c r="Q5" s="1"/>
      <c r="R5" s="1"/>
      <c r="S5" s="1"/>
      <c r="T5" s="1"/>
      <c r="U5" s="1"/>
      <c r="V5" s="1"/>
      <c r="W5" s="1"/>
      <c r="X5" s="1"/>
      <c r="Y5" s="1"/>
      <c r="Z5" s="1"/>
      <c r="AA5" s="1"/>
    </row>
    <row r="6" spans="1:28">
      <c r="A6" s="1"/>
      <c r="B6" s="1"/>
      <c r="C6" s="1"/>
      <c r="D6" s="1"/>
      <c r="E6" s="1"/>
      <c r="F6" s="80"/>
      <c r="G6" s="1"/>
      <c r="H6" s="1"/>
      <c r="I6" s="1"/>
      <c r="J6" s="1"/>
      <c r="K6" s="1"/>
      <c r="L6" s="1"/>
      <c r="M6" s="1"/>
      <c r="N6" s="1"/>
      <c r="O6" s="1"/>
      <c r="P6" s="1"/>
      <c r="Q6" s="1"/>
      <c r="R6" s="1"/>
      <c r="S6" s="1"/>
      <c r="T6" s="1"/>
      <c r="U6" s="1"/>
      <c r="V6" s="1"/>
      <c r="W6" s="1"/>
      <c r="X6" s="1"/>
      <c r="Y6" s="1"/>
      <c r="Z6" s="1"/>
      <c r="AA6" s="1"/>
    </row>
    <row r="7" spans="1:28">
      <c r="A7" s="1"/>
      <c r="B7" s="85" t="s">
        <v>351</v>
      </c>
      <c r="C7" s="1"/>
      <c r="D7" s="78">
        <f>'5-Frequency'!C12</f>
        <v>10475</v>
      </c>
      <c r="E7" s="76" t="s">
        <v>28</v>
      </c>
      <c r="F7" s="80"/>
      <c r="G7" s="1"/>
      <c r="H7" s="85" t="s">
        <v>540</v>
      </c>
      <c r="I7" s="69"/>
      <c r="J7" s="75">
        <f>D7-J9/2</f>
        <v>10474.5</v>
      </c>
      <c r="K7" s="76" t="s">
        <v>28</v>
      </c>
      <c r="L7" s="74" t="s">
        <v>109</v>
      </c>
      <c r="M7" s="75">
        <f>D7+J9/2</f>
        <v>10475.5</v>
      </c>
      <c r="N7" s="76" t="s">
        <v>28</v>
      </c>
      <c r="O7" s="1"/>
      <c r="P7" s="1"/>
      <c r="Q7" s="1"/>
      <c r="R7" s="1"/>
      <c r="S7" s="1"/>
      <c r="T7" s="1"/>
      <c r="U7" s="1"/>
      <c r="V7" s="1"/>
      <c r="W7" s="1"/>
      <c r="X7" s="1"/>
      <c r="Y7" s="1"/>
      <c r="Z7" s="1"/>
      <c r="AA7" s="1"/>
    </row>
    <row r="8" spans="1:28">
      <c r="A8" s="1"/>
      <c r="B8" s="1"/>
      <c r="C8" s="1"/>
      <c r="D8" s="1"/>
      <c r="E8" s="1"/>
      <c r="F8" s="80"/>
      <c r="G8" s="1"/>
      <c r="H8" s="1"/>
      <c r="I8" s="1"/>
      <c r="J8" s="1"/>
      <c r="K8" s="1"/>
      <c r="L8" s="1"/>
      <c r="M8" s="1"/>
      <c r="N8" s="1"/>
      <c r="O8" s="1"/>
      <c r="P8" s="1"/>
      <c r="Q8" s="1"/>
      <c r="R8" s="1"/>
      <c r="S8" s="1"/>
      <c r="T8" s="1"/>
      <c r="U8" s="1"/>
      <c r="V8" s="1"/>
      <c r="W8" s="1"/>
      <c r="X8" s="1"/>
      <c r="Y8" s="1"/>
      <c r="Z8" s="1"/>
      <c r="AA8" s="1"/>
    </row>
    <row r="9" spans="1:28">
      <c r="A9" s="1"/>
      <c r="B9" s="85" t="s">
        <v>376</v>
      </c>
      <c r="C9" s="1"/>
      <c r="D9" s="355">
        <f>'3-Link Scenario Planner'!E9</f>
        <v>0.01</v>
      </c>
      <c r="E9" s="354" t="s">
        <v>28</v>
      </c>
      <c r="F9" s="80"/>
      <c r="G9" s="1"/>
      <c r="H9" s="92" t="s">
        <v>420</v>
      </c>
      <c r="I9" s="1"/>
      <c r="J9" s="447">
        <f>'3-Link Scenario Planner'!E11</f>
        <v>1</v>
      </c>
      <c r="K9" s="446" t="s">
        <v>28</v>
      </c>
      <c r="L9" s="1"/>
      <c r="M9" s="1"/>
      <c r="N9" s="1"/>
      <c r="O9" s="1"/>
      <c r="P9" s="1"/>
      <c r="Q9" s="1"/>
      <c r="R9" s="1"/>
      <c r="S9" s="1"/>
      <c r="T9" s="1"/>
      <c r="U9" s="1"/>
      <c r="V9" s="1"/>
      <c r="W9" s="1"/>
      <c r="X9" s="1"/>
      <c r="Y9" s="1"/>
      <c r="Z9" s="1"/>
      <c r="AA9" s="1"/>
    </row>
    <row r="10" spans="1:28">
      <c r="A10" s="1"/>
      <c r="B10" s="1"/>
      <c r="C10" s="1"/>
      <c r="D10" s="1"/>
      <c r="E10" s="1"/>
      <c r="F10" s="80"/>
      <c r="G10" s="1"/>
      <c r="H10" s="1"/>
      <c r="I10" s="1"/>
      <c r="J10" s="1"/>
      <c r="K10" s="1"/>
      <c r="L10" s="1"/>
      <c r="M10" s="1"/>
      <c r="N10" s="1"/>
      <c r="O10" s="1"/>
      <c r="P10" s="1"/>
      <c r="Q10" s="1"/>
      <c r="R10" s="1"/>
      <c r="S10" s="1"/>
      <c r="T10" s="1"/>
      <c r="U10" s="1"/>
      <c r="V10" s="1"/>
      <c r="W10" s="1"/>
      <c r="X10" s="1"/>
      <c r="Y10" s="1"/>
      <c r="Z10" s="1"/>
      <c r="AA10" s="1"/>
    </row>
    <row r="11" spans="1:28">
      <c r="A11" s="1"/>
      <c r="B11" s="85" t="s">
        <v>352</v>
      </c>
      <c r="C11" s="1"/>
      <c r="D11" s="73">
        <f>'8-Uplink Budget'!C35</f>
        <v>-4.9420123994607792</v>
      </c>
      <c r="E11" s="70" t="s">
        <v>52</v>
      </c>
      <c r="F11" s="80"/>
      <c r="G11" s="1"/>
      <c r="H11" s="85" t="s">
        <v>390</v>
      </c>
      <c r="I11" s="1"/>
      <c r="J11" s="443">
        <f>'3-Link Scenario Planner'!E13</f>
        <v>1</v>
      </c>
      <c r="K11" s="354" t="s">
        <v>111</v>
      </c>
      <c r="L11" s="69" t="s">
        <v>3</v>
      </c>
      <c r="M11" s="1" t="s">
        <v>391</v>
      </c>
      <c r="N11" s="1"/>
      <c r="O11" s="1"/>
      <c r="P11" s="1"/>
      <c r="Q11" s="1"/>
      <c r="R11" s="1"/>
      <c r="S11" s="1"/>
      <c r="T11" s="1"/>
      <c r="U11" s="1"/>
      <c r="V11" s="1"/>
      <c r="W11" s="1"/>
      <c r="X11" s="1"/>
      <c r="Y11" s="1"/>
      <c r="Z11" s="1"/>
      <c r="AA11" s="1"/>
    </row>
    <row r="12" spans="1:28">
      <c r="A12" s="1"/>
      <c r="B12" s="1"/>
      <c r="C12" s="1"/>
      <c r="D12" s="1"/>
      <c r="E12" s="1"/>
      <c r="F12" s="80"/>
      <c r="G12" s="1"/>
      <c r="H12" s="1"/>
      <c r="I12" s="1"/>
      <c r="J12" s="1"/>
      <c r="K12" s="1"/>
      <c r="L12" s="1"/>
      <c r="M12" s="1"/>
      <c r="N12" s="1"/>
      <c r="O12" s="1"/>
      <c r="P12" s="1"/>
      <c r="Q12" s="1"/>
      <c r="R12" s="1"/>
      <c r="S12" s="1"/>
      <c r="T12" s="1"/>
      <c r="U12" s="1"/>
      <c r="V12" s="1"/>
      <c r="W12" s="1"/>
      <c r="X12" s="1"/>
      <c r="Y12" s="1"/>
      <c r="Z12" s="1"/>
      <c r="AA12" s="1"/>
    </row>
    <row r="13" spans="1:28">
      <c r="A13" s="1"/>
      <c r="B13" s="85" t="s">
        <v>353</v>
      </c>
      <c r="C13" s="1"/>
      <c r="D13" s="562">
        <v>10</v>
      </c>
      <c r="E13" s="363" t="s">
        <v>107</v>
      </c>
      <c r="F13" s="80"/>
      <c r="G13" s="1"/>
      <c r="H13" s="85" t="s">
        <v>110</v>
      </c>
      <c r="I13" s="1"/>
      <c r="J13" s="990" t="s">
        <v>392</v>
      </c>
      <c r="K13" s="991"/>
      <c r="L13" s="1"/>
      <c r="M13" s="50" t="s">
        <v>180</v>
      </c>
      <c r="N13" s="1"/>
      <c r="O13" s="1"/>
      <c r="P13" s="1"/>
      <c r="Q13" s="1"/>
      <c r="R13" s="1"/>
      <c r="S13" s="1"/>
      <c r="T13" s="1"/>
      <c r="U13" s="1"/>
      <c r="V13" s="1"/>
      <c r="W13" s="1"/>
      <c r="X13" s="1"/>
      <c r="Y13" s="1"/>
      <c r="Z13" s="1"/>
      <c r="AA13" s="1"/>
    </row>
    <row r="14" spans="1:28">
      <c r="A14" s="1"/>
      <c r="B14" s="1"/>
      <c r="C14" s="1"/>
      <c r="D14" s="1"/>
      <c r="E14" s="1"/>
      <c r="F14" s="80"/>
      <c r="G14" s="1"/>
      <c r="H14" s="1"/>
      <c r="I14" s="1"/>
      <c r="J14" s="1"/>
      <c r="K14" s="1"/>
      <c r="L14" s="1"/>
      <c r="M14" s="1"/>
      <c r="N14" s="1"/>
      <c r="O14" s="1"/>
      <c r="P14" s="1"/>
      <c r="Q14" s="1"/>
      <c r="R14" s="1"/>
      <c r="S14" s="1"/>
      <c r="T14" s="1"/>
      <c r="U14" s="1"/>
      <c r="V14" s="1"/>
      <c r="W14" s="1"/>
      <c r="X14" s="1"/>
      <c r="Y14" s="1"/>
      <c r="Z14" s="1"/>
      <c r="AA14" s="1"/>
    </row>
    <row r="15" spans="1:28">
      <c r="A15" s="1"/>
      <c r="B15" s="85" t="s">
        <v>354</v>
      </c>
      <c r="C15" s="1"/>
      <c r="D15" s="988">
        <v>1.76</v>
      </c>
      <c r="E15" s="989"/>
      <c r="F15" s="80"/>
      <c r="G15" s="1"/>
      <c r="H15" s="85" t="s">
        <v>418</v>
      </c>
      <c r="I15" s="1"/>
      <c r="J15" s="444">
        <f>('3-Link Scenario Planner'!E11)/J11</f>
        <v>1</v>
      </c>
      <c r="K15" s="70" t="s">
        <v>28</v>
      </c>
      <c r="L15" s="1"/>
      <c r="M15" s="69" t="s">
        <v>419</v>
      </c>
      <c r="N15" s="1"/>
      <c r="O15" s="1"/>
      <c r="P15" s="1"/>
      <c r="Q15" s="1"/>
      <c r="R15" s="1"/>
      <c r="S15" s="1"/>
      <c r="T15" s="1"/>
      <c r="U15" s="1"/>
      <c r="V15" s="1"/>
      <c r="W15" s="1"/>
      <c r="X15" s="1"/>
      <c r="Y15" s="1"/>
      <c r="Z15" s="1"/>
      <c r="AA15" s="1"/>
    </row>
    <row r="16" spans="1:28">
      <c r="A16" s="1"/>
      <c r="B16" s="69"/>
      <c r="C16" s="1"/>
      <c r="D16" s="336"/>
      <c r="E16" s="336"/>
      <c r="F16" s="80"/>
      <c r="G16" s="347" t="s">
        <v>3</v>
      </c>
      <c r="H16" s="1"/>
      <c r="I16" s="1"/>
      <c r="J16" s="1"/>
      <c r="K16" s="1"/>
      <c r="L16" s="1"/>
      <c r="M16" s="1"/>
      <c r="N16" s="1"/>
      <c r="O16" s="1"/>
      <c r="P16" s="1"/>
      <c r="Q16" s="1"/>
      <c r="R16" s="1"/>
      <c r="S16" s="1"/>
      <c r="T16" s="1"/>
      <c r="U16" s="1"/>
      <c r="V16" s="1"/>
      <c r="W16" s="1"/>
      <c r="X16" s="1"/>
      <c r="Y16" s="1"/>
      <c r="Z16" s="1"/>
      <c r="AA16" s="1"/>
    </row>
    <row r="17" spans="1:27">
      <c r="A17" s="1"/>
      <c r="B17" s="85" t="s">
        <v>355</v>
      </c>
      <c r="C17" s="1"/>
      <c r="D17" s="992">
        <v>0.28000000000000003</v>
      </c>
      <c r="E17" s="993"/>
      <c r="F17" s="80"/>
      <c r="G17" s="1"/>
      <c r="H17" s="85" t="s">
        <v>373</v>
      </c>
      <c r="I17" s="1"/>
      <c r="J17" s="71">
        <f>D13/J11</f>
        <v>10</v>
      </c>
      <c r="K17" s="70" t="s">
        <v>107</v>
      </c>
      <c r="L17" s="1"/>
      <c r="M17" s="69"/>
      <c r="N17" s="1"/>
      <c r="O17" s="1"/>
      <c r="P17" s="1"/>
      <c r="Q17" s="1"/>
      <c r="R17" s="1"/>
      <c r="S17" s="1"/>
      <c r="T17" s="1"/>
      <c r="U17" s="1"/>
      <c r="V17" s="1"/>
      <c r="W17" s="1"/>
      <c r="X17" s="1"/>
      <c r="Y17" s="1"/>
      <c r="Z17" s="1"/>
      <c r="AA17" s="1"/>
    </row>
    <row r="18" spans="1:27">
      <c r="A18" s="1"/>
      <c r="B18" s="1"/>
      <c r="C18" s="1"/>
      <c r="D18" s="1"/>
      <c r="E18" s="1"/>
      <c r="F18" s="80"/>
      <c r="G18" s="1"/>
      <c r="H18" s="1"/>
      <c r="I18" s="1"/>
      <c r="J18" s="1"/>
      <c r="K18" s="1"/>
      <c r="L18" s="1"/>
      <c r="M18" s="69"/>
      <c r="N18" s="1"/>
      <c r="O18" s="1"/>
      <c r="P18" s="1"/>
      <c r="Q18" s="1"/>
      <c r="R18" s="1"/>
      <c r="S18" s="1"/>
      <c r="T18" s="1"/>
      <c r="U18" s="1"/>
      <c r="V18" s="1"/>
      <c r="W18" s="1"/>
      <c r="X18" s="1"/>
      <c r="Y18" s="1"/>
      <c r="Z18" s="1"/>
      <c r="AA18" s="1"/>
    </row>
    <row r="19" spans="1:27">
      <c r="A19" s="1"/>
      <c r="B19" s="85" t="s">
        <v>356</v>
      </c>
      <c r="C19" s="1"/>
      <c r="D19" s="365">
        <v>20</v>
      </c>
      <c r="E19" s="363" t="s">
        <v>209</v>
      </c>
      <c r="F19" s="80"/>
      <c r="G19" s="1"/>
      <c r="H19" s="85" t="s">
        <v>135</v>
      </c>
      <c r="I19" s="1"/>
      <c r="J19" s="365">
        <v>0</v>
      </c>
      <c r="K19" s="364" t="s">
        <v>28</v>
      </c>
      <c r="L19" s="1"/>
      <c r="M19" s="69"/>
      <c r="N19" s="1"/>
      <c r="O19" s="1"/>
      <c r="P19" s="1"/>
      <c r="Q19" s="1"/>
      <c r="R19" s="1"/>
      <c r="S19" s="1"/>
      <c r="T19" s="1"/>
      <c r="U19" s="1"/>
      <c r="V19" s="1"/>
      <c r="W19" s="1"/>
      <c r="X19" s="1"/>
      <c r="Y19" s="1"/>
      <c r="Z19" s="1"/>
      <c r="AA19" s="1"/>
    </row>
    <row r="20" spans="1:27">
      <c r="A20" s="1"/>
      <c r="B20" s="1"/>
      <c r="C20" s="1"/>
      <c r="D20" s="1"/>
      <c r="E20" s="1"/>
      <c r="F20" s="80"/>
      <c r="G20" s="1"/>
      <c r="H20" s="1"/>
      <c r="I20" s="1"/>
      <c r="J20" s="1"/>
      <c r="K20" s="1"/>
      <c r="L20" s="1"/>
      <c r="M20" s="1"/>
      <c r="N20" s="1"/>
      <c r="O20" s="1"/>
      <c r="P20" s="1"/>
      <c r="Q20" s="1"/>
      <c r="R20" s="1"/>
      <c r="S20" s="1"/>
      <c r="T20" s="1"/>
      <c r="U20" s="1"/>
      <c r="V20" s="1"/>
      <c r="W20" s="1"/>
      <c r="X20" s="1"/>
      <c r="Y20" s="1"/>
      <c r="Z20" s="1"/>
      <c r="AA20" s="1"/>
    </row>
    <row r="21" spans="1:27">
      <c r="A21" s="1"/>
      <c r="B21" s="85" t="s">
        <v>357</v>
      </c>
      <c r="C21" s="1"/>
      <c r="D21" s="73">
        <f>D13/D17</f>
        <v>35.714285714285708</v>
      </c>
      <c r="E21" s="70" t="s">
        <v>107</v>
      </c>
      <c r="F21" s="80"/>
      <c r="G21" s="1"/>
      <c r="H21" s="1"/>
      <c r="I21" s="1"/>
      <c r="J21" s="1"/>
      <c r="K21" s="1"/>
      <c r="L21" s="1"/>
      <c r="M21" s="69"/>
      <c r="N21" s="1"/>
      <c r="O21" s="1"/>
      <c r="P21" s="1"/>
      <c r="Q21" s="1"/>
      <c r="R21" s="1"/>
      <c r="S21" s="1"/>
      <c r="T21" s="1"/>
      <c r="U21" s="1"/>
      <c r="V21" s="1"/>
      <c r="W21" s="1"/>
      <c r="X21" s="1"/>
      <c r="Y21" s="1"/>
      <c r="Z21" s="1"/>
      <c r="AA21" s="1"/>
    </row>
    <row r="22" spans="1:27">
      <c r="A22" s="1"/>
      <c r="B22" s="1"/>
      <c r="C22" s="1"/>
      <c r="D22" s="1"/>
      <c r="E22" s="1"/>
      <c r="F22" s="80"/>
      <c r="G22" s="1"/>
      <c r="H22" s="1"/>
      <c r="I22" s="1"/>
      <c r="J22" s="1"/>
      <c r="K22" s="1"/>
      <c r="L22" s="1"/>
      <c r="M22" s="69"/>
      <c r="N22" s="1"/>
      <c r="O22" s="1"/>
      <c r="P22" s="1"/>
      <c r="Q22" s="1"/>
      <c r="R22" s="1"/>
      <c r="S22" s="1"/>
      <c r="T22" s="1"/>
      <c r="U22" s="1"/>
      <c r="V22" s="1"/>
      <c r="W22" s="1"/>
      <c r="X22" s="1"/>
      <c r="Y22" s="1"/>
      <c r="Z22" s="1"/>
      <c r="AA22" s="1"/>
    </row>
    <row r="23" spans="1:27">
      <c r="A23" s="1"/>
      <c r="B23" s="69" t="s">
        <v>3</v>
      </c>
      <c r="C23" s="1"/>
      <c r="D23" s="366" t="s">
        <v>3</v>
      </c>
      <c r="E23" s="69" t="s">
        <v>3</v>
      </c>
      <c r="F23" s="80"/>
      <c r="G23" s="1"/>
      <c r="H23" s="85" t="s">
        <v>421</v>
      </c>
      <c r="I23" s="1"/>
      <c r="J23" s="148">
        <f>J15-(J11+1)*J19</f>
        <v>1</v>
      </c>
      <c r="K23" s="70" t="s">
        <v>28</v>
      </c>
      <c r="L23" s="1"/>
      <c r="M23" s="69" t="s">
        <v>422</v>
      </c>
      <c r="N23" s="1"/>
      <c r="O23" s="1"/>
      <c r="P23" s="1"/>
      <c r="Q23" s="1"/>
      <c r="R23" s="1"/>
      <c r="S23" s="1"/>
      <c r="T23" s="1"/>
      <c r="U23" s="1"/>
      <c r="V23" s="1"/>
      <c r="W23" s="1"/>
      <c r="X23" s="1"/>
      <c r="Y23" s="1"/>
      <c r="Z23" s="1"/>
      <c r="AA23" s="1"/>
    </row>
    <row r="24" spans="1:27">
      <c r="A24" s="1"/>
      <c r="B24" s="1"/>
      <c r="C24" s="1"/>
      <c r="D24" s="1"/>
      <c r="E24" s="1"/>
      <c r="F24" s="80"/>
      <c r="G24" s="1"/>
      <c r="H24" s="1"/>
      <c r="I24" s="1"/>
      <c r="J24" s="1"/>
      <c r="K24" s="1"/>
      <c r="L24" s="1"/>
      <c r="M24" s="1"/>
      <c r="N24" s="1"/>
      <c r="O24" s="1"/>
      <c r="P24" s="1"/>
      <c r="Q24" s="1"/>
      <c r="R24" s="1"/>
      <c r="S24" s="1"/>
      <c r="T24" s="1"/>
      <c r="U24" s="1"/>
      <c r="V24" s="1"/>
      <c r="W24" s="1"/>
      <c r="X24" s="1"/>
      <c r="Y24" s="1"/>
      <c r="Z24" s="1"/>
      <c r="AA24" s="1"/>
    </row>
    <row r="25" spans="1:27">
      <c r="A25" s="1"/>
      <c r="B25" s="1"/>
      <c r="C25" s="1"/>
      <c r="D25" s="1"/>
      <c r="E25" s="1"/>
      <c r="F25" s="80"/>
      <c r="G25" s="1"/>
      <c r="H25" s="1"/>
      <c r="I25" s="1"/>
      <c r="J25" s="1"/>
      <c r="K25" s="1"/>
      <c r="L25" s="1"/>
      <c r="M25" s="1"/>
      <c r="N25" s="1"/>
      <c r="O25" s="1"/>
      <c r="P25" s="1"/>
      <c r="Q25" s="1"/>
      <c r="R25" s="1"/>
      <c r="S25" s="1"/>
      <c r="T25" s="1"/>
      <c r="U25" s="1"/>
      <c r="V25" s="1"/>
      <c r="W25" s="1"/>
      <c r="X25" s="1"/>
      <c r="Y25" s="1"/>
      <c r="Z25" s="1"/>
      <c r="AA25" s="1"/>
    </row>
    <row r="26" spans="1:27">
      <c r="A26" s="1"/>
      <c r="B26" s="1"/>
      <c r="C26" s="1"/>
      <c r="D26" s="1"/>
      <c r="E26" s="1"/>
      <c r="F26" s="80"/>
      <c r="G26" s="1"/>
      <c r="H26" s="1"/>
      <c r="I26" s="1"/>
      <c r="J26" s="1"/>
      <c r="K26" s="1"/>
      <c r="L26" s="1"/>
      <c r="M26" s="1"/>
      <c r="N26" s="1"/>
      <c r="O26" s="1"/>
      <c r="P26" s="1"/>
      <c r="Q26" s="1"/>
      <c r="R26" s="1"/>
      <c r="S26" s="1"/>
      <c r="T26" s="1"/>
      <c r="U26" s="1"/>
      <c r="V26" s="1"/>
      <c r="W26" s="1"/>
      <c r="X26" s="1"/>
      <c r="Y26" s="1"/>
      <c r="Z26" s="1"/>
      <c r="AA26" s="1"/>
    </row>
    <row r="27" spans="1:27">
      <c r="A27" s="1"/>
      <c r="B27" s="1"/>
      <c r="C27" s="1"/>
      <c r="D27" s="102"/>
      <c r="E27" s="1"/>
      <c r="F27" s="80"/>
      <c r="G27" s="1"/>
      <c r="H27" s="1"/>
      <c r="I27" s="1"/>
      <c r="J27" s="1"/>
      <c r="K27" s="1"/>
      <c r="L27" s="1"/>
      <c r="M27" s="1"/>
      <c r="N27" s="1"/>
      <c r="O27" s="1"/>
      <c r="P27" s="1"/>
      <c r="Q27" s="1"/>
      <c r="R27" s="1"/>
      <c r="S27" s="1"/>
      <c r="T27" s="1"/>
      <c r="U27" s="1"/>
      <c r="V27" s="1"/>
      <c r="W27" s="1"/>
      <c r="X27" s="1"/>
      <c r="Y27" s="1"/>
      <c r="Z27" s="1"/>
      <c r="AA27" s="1"/>
    </row>
    <row r="28" spans="1:27">
      <c r="A28" s="1"/>
      <c r="B28" s="1"/>
      <c r="C28" s="1"/>
      <c r="D28" s="1"/>
      <c r="E28" s="1"/>
      <c r="F28" s="80"/>
      <c r="G28" s="1"/>
      <c r="H28" s="1"/>
      <c r="I28" s="1"/>
      <c r="J28" s="1"/>
      <c r="K28" s="1"/>
      <c r="L28" s="1"/>
      <c r="M28" s="1"/>
      <c r="N28" s="1"/>
      <c r="O28" s="1"/>
      <c r="P28" s="1"/>
      <c r="Q28" s="1"/>
      <c r="R28" s="1"/>
      <c r="S28" s="1"/>
      <c r="T28" s="1"/>
      <c r="U28" s="1"/>
      <c r="V28" s="1"/>
      <c r="W28" s="1"/>
      <c r="X28" s="1"/>
      <c r="Y28" s="1"/>
      <c r="Z28" s="1"/>
      <c r="AA28" s="1"/>
    </row>
    <row r="29" spans="1:27">
      <c r="A29" s="1"/>
      <c r="B29" s="69" t="s">
        <v>3</v>
      </c>
      <c r="C29" s="1"/>
      <c r="D29" s="1"/>
      <c r="E29" s="1"/>
      <c r="F29" s="80"/>
      <c r="G29" s="1"/>
      <c r="H29" s="1"/>
      <c r="I29" s="1"/>
      <c r="J29" s="1"/>
      <c r="K29" s="1"/>
      <c r="L29" s="1"/>
      <c r="M29" s="1"/>
      <c r="N29" s="1"/>
      <c r="O29" s="1"/>
      <c r="P29" s="1"/>
      <c r="Q29" s="1"/>
      <c r="R29" s="1"/>
      <c r="S29" s="1"/>
      <c r="T29" s="1"/>
      <c r="U29" s="1"/>
      <c r="V29" s="1"/>
      <c r="W29" s="1"/>
      <c r="X29" s="1"/>
      <c r="Y29" s="1"/>
      <c r="Z29" s="1"/>
      <c r="AA29" s="1"/>
    </row>
    <row r="30" spans="1:27">
      <c r="A30" s="81"/>
      <c r="B30" s="81"/>
      <c r="C30" s="81"/>
      <c r="D30" s="81"/>
      <c r="E30" s="81"/>
      <c r="F30" s="82"/>
      <c r="G30" s="81"/>
      <c r="H30" s="81"/>
      <c r="I30" s="81"/>
      <c r="J30" s="81"/>
      <c r="K30" s="81"/>
      <c r="L30" s="81"/>
      <c r="M30" s="81"/>
      <c r="N30" s="81"/>
      <c r="O30" s="81"/>
      <c r="P30" s="81"/>
      <c r="Q30" s="81"/>
      <c r="R30" s="81"/>
      <c r="S30" s="81"/>
      <c r="T30" s="81"/>
      <c r="U30" s="81"/>
      <c r="V30" s="81"/>
      <c r="W30" s="81"/>
      <c r="X30" s="81"/>
      <c r="Y30" s="81"/>
      <c r="Z30" s="81"/>
      <c r="AA30" s="81"/>
    </row>
    <row r="31" spans="1:27" ht="17" thickBot="1">
      <c r="A31" s="343" t="s">
        <v>435</v>
      </c>
      <c r="B31" s="344"/>
      <c r="C31" s="345" t="s">
        <v>140</v>
      </c>
      <c r="D31" s="1"/>
      <c r="E31" s="1"/>
      <c r="F31" s="1"/>
      <c r="G31" s="1"/>
      <c r="H31" s="1"/>
      <c r="I31" s="1"/>
      <c r="J31" s="1"/>
      <c r="K31" s="1"/>
      <c r="L31" s="1"/>
      <c r="M31" s="1"/>
      <c r="N31" s="1"/>
      <c r="O31" s="1"/>
      <c r="P31" s="1"/>
      <c r="Q31" s="1"/>
      <c r="R31" s="1"/>
      <c r="S31" s="1"/>
      <c r="T31" s="1"/>
      <c r="U31" s="1"/>
      <c r="V31" s="1"/>
      <c r="W31" s="1"/>
      <c r="X31" s="1"/>
      <c r="Y31" s="1"/>
      <c r="Z31" s="1"/>
      <c r="AA31" s="1"/>
    </row>
    <row r="32" spans="1:27" ht="14" thickBot="1">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ht="14" thickBot="1">
      <c r="A33" s="1"/>
      <c r="B33" s="1"/>
      <c r="C33" s="137">
        <f>L83</f>
        <v>-4.9420123994607792</v>
      </c>
      <c r="D33" s="1"/>
      <c r="E33" s="1"/>
      <c r="F33" s="1"/>
      <c r="G33" s="1"/>
      <c r="H33" s="1"/>
      <c r="I33" s="1"/>
      <c r="J33" s="1"/>
      <c r="K33" s="1"/>
      <c r="L33" s="1"/>
      <c r="M33" s="1"/>
      <c r="N33" s="1"/>
      <c r="O33" s="1"/>
      <c r="P33" s="142"/>
      <c r="Q33" s="1"/>
      <c r="R33" s="1"/>
      <c r="S33" s="1"/>
      <c r="T33" s="1"/>
      <c r="U33" s="1"/>
      <c r="V33" s="1"/>
      <c r="W33" s="1"/>
      <c r="X33" s="1"/>
      <c r="Y33" s="1"/>
      <c r="Z33" s="1"/>
      <c r="AA33" s="1"/>
    </row>
    <row r="34" spans="1:27" ht="14" thickBot="1">
      <c r="A34" s="1"/>
      <c r="B34" s="69"/>
      <c r="C34" s="1"/>
      <c r="D34" s="1"/>
      <c r="E34" s="1"/>
      <c r="F34" s="1"/>
      <c r="G34" s="1"/>
      <c r="H34" s="1"/>
      <c r="I34" s="1"/>
      <c r="J34" s="1"/>
      <c r="K34" s="1"/>
      <c r="L34" s="1"/>
      <c r="M34" s="1"/>
      <c r="N34" s="1"/>
      <c r="O34" s="1"/>
      <c r="P34" s="1"/>
      <c r="Q34" s="1"/>
      <c r="R34" s="1"/>
      <c r="S34" s="1"/>
      <c r="T34" s="1"/>
      <c r="U34" s="136">
        <f>L80</f>
        <v>26.818614897305618</v>
      </c>
      <c r="V34" s="1"/>
      <c r="W34" s="1"/>
      <c r="X34" s="1"/>
      <c r="Y34" s="1"/>
      <c r="Z34" s="1"/>
      <c r="AA34" s="1"/>
    </row>
    <row r="35" spans="1:27">
      <c r="A35" s="1"/>
      <c r="B35" s="1"/>
      <c r="C35" s="1"/>
      <c r="D35" s="1"/>
      <c r="E35" s="1"/>
      <c r="F35" s="1"/>
      <c r="G35" s="1"/>
      <c r="H35" s="1"/>
      <c r="I35" s="1"/>
      <c r="J35" s="1"/>
      <c r="K35" s="1"/>
      <c r="L35" s="1"/>
      <c r="M35" s="1"/>
      <c r="N35" s="1"/>
      <c r="O35" s="142" t="s">
        <v>3</v>
      </c>
      <c r="P35" s="1"/>
      <c r="Q35" s="1"/>
      <c r="R35" s="1"/>
      <c r="S35" s="1"/>
      <c r="T35" s="1"/>
      <c r="U35" s="1"/>
      <c r="V35" s="1"/>
      <c r="W35" s="1"/>
      <c r="X35" s="1"/>
      <c r="Y35" s="1"/>
      <c r="Z35" s="1"/>
      <c r="AA35" s="1"/>
    </row>
    <row r="36" spans="1:27">
      <c r="A36" s="1"/>
      <c r="B36" s="1"/>
      <c r="C36" s="1"/>
      <c r="D36" s="1"/>
      <c r="E36" s="1"/>
      <c r="F36" s="1"/>
      <c r="G36" s="1"/>
      <c r="H36" s="360"/>
      <c r="I36" s="1"/>
      <c r="J36" s="1"/>
      <c r="K36" s="1"/>
      <c r="L36" s="1"/>
      <c r="M36" s="1"/>
      <c r="N36" s="1"/>
      <c r="O36" s="1"/>
      <c r="P36" s="1"/>
      <c r="Q36" s="1"/>
      <c r="R36" s="1"/>
      <c r="S36" s="1"/>
      <c r="T36" s="1"/>
      <c r="U36" s="1"/>
      <c r="V36" s="1"/>
      <c r="W36" s="1"/>
      <c r="X36" s="1"/>
      <c r="Y36" s="1"/>
      <c r="Z36" s="1"/>
      <c r="AA36" s="1"/>
    </row>
    <row r="37" spans="1:27">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c r="A42" s="1"/>
      <c r="B42" s="1"/>
      <c r="C42" s="1"/>
      <c r="D42" s="1"/>
      <c r="E42" s="1"/>
      <c r="F42" s="1"/>
      <c r="G42" s="1"/>
      <c r="H42" s="1"/>
      <c r="I42" s="1"/>
      <c r="J42" s="1"/>
      <c r="K42" s="1"/>
      <c r="L42" s="1"/>
      <c r="M42" s="1"/>
      <c r="N42" s="1"/>
      <c r="O42" s="1"/>
      <c r="P42" s="1"/>
      <c r="Q42" s="1"/>
      <c r="R42" s="1"/>
      <c r="S42" s="1"/>
      <c r="T42" s="1"/>
      <c r="U42" s="1"/>
      <c r="V42" s="1"/>
      <c r="W42" s="1"/>
      <c r="X42" s="347" t="s">
        <v>3</v>
      </c>
      <c r="Y42" s="1"/>
      <c r="Z42" s="1"/>
      <c r="AA42" s="1"/>
    </row>
    <row r="43" spans="1:27">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c r="A47" s="1"/>
      <c r="B47" s="1"/>
      <c r="C47" s="1"/>
      <c r="D47" s="1"/>
      <c r="E47" s="1"/>
      <c r="F47" s="1"/>
      <c r="G47" s="1"/>
      <c r="H47" s="1"/>
      <c r="I47" s="1"/>
      <c r="J47" s="1"/>
      <c r="K47" s="1"/>
      <c r="L47" s="1"/>
      <c r="M47" s="1"/>
      <c r="N47" s="1"/>
      <c r="O47" s="1"/>
      <c r="P47" s="1"/>
      <c r="Q47" s="1"/>
      <c r="R47" s="1"/>
      <c r="S47" s="1"/>
      <c r="T47" s="1"/>
      <c r="U47" s="1"/>
      <c r="V47" s="1"/>
      <c r="W47" s="1"/>
      <c r="X47" s="1"/>
      <c r="Y47" s="1"/>
      <c r="Z47" s="1"/>
      <c r="AA47" s="1"/>
    </row>
    <row r="48" spans="1:27">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c r="A49" s="1"/>
      <c r="B49" s="1"/>
      <c r="C49" s="1"/>
      <c r="D49" s="1"/>
      <c r="E49" s="1"/>
      <c r="F49" s="1"/>
      <c r="G49" s="1"/>
      <c r="H49" s="1"/>
      <c r="I49" s="1"/>
      <c r="J49" s="1"/>
      <c r="K49" s="1"/>
      <c r="L49" s="1"/>
      <c r="M49" s="127" t="s">
        <v>3</v>
      </c>
      <c r="N49" s="1"/>
      <c r="O49" s="1"/>
      <c r="P49" s="1"/>
      <c r="Q49" s="1"/>
      <c r="R49" s="1"/>
      <c r="S49" s="1"/>
      <c r="T49" s="1"/>
      <c r="U49" s="1"/>
      <c r="V49" s="1"/>
      <c r="W49" s="1"/>
      <c r="X49" s="1"/>
      <c r="Y49" s="1"/>
      <c r="Z49" s="1"/>
      <c r="AA49" s="1"/>
    </row>
    <row r="50" spans="1:27">
      <c r="A50" s="1"/>
      <c r="B50" s="1"/>
      <c r="C50" s="1"/>
      <c r="D50" s="1"/>
      <c r="E50" s="1"/>
      <c r="F50" s="1"/>
      <c r="G50" s="1"/>
      <c r="H50" s="1"/>
      <c r="I50" s="1"/>
      <c r="J50" s="1"/>
      <c r="K50" s="1"/>
      <c r="L50" s="1"/>
      <c r="M50" s="1"/>
      <c r="N50" s="1"/>
      <c r="O50" s="1"/>
      <c r="P50" s="1"/>
      <c r="Q50" s="1"/>
      <c r="R50" s="1"/>
      <c r="S50" s="1"/>
      <c r="T50" s="1"/>
      <c r="U50" s="1"/>
      <c r="V50" s="1"/>
      <c r="W50" s="1"/>
      <c r="X50" s="1"/>
      <c r="Y50" s="1"/>
      <c r="Z50" s="1"/>
      <c r="AA50" s="1"/>
    </row>
    <row r="51" spans="1:27">
      <c r="A51" s="1"/>
      <c r="B51" s="1"/>
      <c r="C51" s="1"/>
      <c r="D51" s="1"/>
      <c r="E51" s="1"/>
      <c r="F51" s="1"/>
      <c r="G51" s="1"/>
      <c r="H51" s="1"/>
      <c r="I51" s="1"/>
      <c r="J51" s="1"/>
      <c r="K51" s="1"/>
      <c r="L51" s="1"/>
      <c r="M51" s="1"/>
      <c r="N51" s="1"/>
      <c r="O51" s="1"/>
      <c r="P51" s="1"/>
      <c r="Q51" s="1"/>
      <c r="R51" s="1"/>
      <c r="S51" s="1"/>
      <c r="T51" s="1"/>
      <c r="U51" s="1"/>
      <c r="V51" s="1"/>
      <c r="W51" s="1"/>
      <c r="X51" s="1"/>
      <c r="Y51" s="1"/>
      <c r="Z51" s="1"/>
      <c r="AA51" s="1"/>
    </row>
    <row r="52" spans="1:27">
      <c r="A52" s="1"/>
      <c r="B52" s="1"/>
      <c r="C52" s="1"/>
      <c r="D52" s="1"/>
      <c r="E52" s="1"/>
      <c r="F52" s="1"/>
      <c r="G52" s="1"/>
      <c r="H52" s="1"/>
      <c r="I52" s="1"/>
      <c r="J52" s="1"/>
      <c r="K52" s="1"/>
      <c r="L52" s="1"/>
      <c r="M52" s="1"/>
      <c r="N52" s="1"/>
      <c r="O52" s="1"/>
      <c r="P52" s="1"/>
      <c r="Q52" s="1"/>
      <c r="R52" s="1"/>
      <c r="S52" s="1"/>
      <c r="T52" s="1"/>
      <c r="U52" s="1"/>
      <c r="V52" s="1"/>
      <c r="W52" s="1"/>
      <c r="X52" s="1"/>
      <c r="Y52" s="1"/>
      <c r="Z52" s="1"/>
      <c r="AA52" s="1"/>
    </row>
    <row r="53" spans="1:27" ht="14" thickBot="1">
      <c r="A53" s="1"/>
      <c r="B53" s="1"/>
      <c r="C53" s="1"/>
      <c r="D53" s="1"/>
      <c r="E53" s="1"/>
      <c r="F53" s="1"/>
      <c r="G53" s="1"/>
      <c r="H53" s="1"/>
      <c r="I53" s="994"/>
      <c r="J53" s="994"/>
      <c r="K53" s="1"/>
      <c r="L53" s="1"/>
      <c r="M53" s="1"/>
      <c r="N53" s="1"/>
      <c r="O53" s="1"/>
      <c r="P53" s="1"/>
      <c r="Q53" s="1"/>
      <c r="R53" s="1"/>
      <c r="S53" s="1"/>
      <c r="T53" s="1"/>
      <c r="U53" s="1"/>
      <c r="V53" s="1"/>
      <c r="W53" s="1"/>
      <c r="X53" s="1"/>
      <c r="Y53" s="1"/>
      <c r="Z53" s="1"/>
      <c r="AA53" s="1"/>
    </row>
    <row r="54" spans="1:27" ht="14" thickBot="1">
      <c r="A54" s="1"/>
      <c r="B54" s="1"/>
      <c r="C54" s="1"/>
      <c r="D54" s="1"/>
      <c r="E54" s="1"/>
      <c r="F54" s="1"/>
      <c r="G54" s="1"/>
      <c r="H54" s="720">
        <f>D9</f>
        <v>0.01</v>
      </c>
      <c r="I54" s="1"/>
      <c r="J54" s="1"/>
      <c r="K54" s="1"/>
      <c r="L54" s="1"/>
      <c r="M54" s="1"/>
      <c r="N54" s="1"/>
      <c r="O54" s="1"/>
      <c r="P54" s="1"/>
      <c r="Q54" s="1"/>
      <c r="R54" s="1"/>
      <c r="S54" s="1"/>
      <c r="T54" s="1"/>
      <c r="U54" s="1"/>
      <c r="V54" s="1"/>
      <c r="W54" s="1"/>
      <c r="X54" s="1"/>
      <c r="Y54" s="1"/>
      <c r="Z54" s="1"/>
      <c r="AA54" s="1"/>
    </row>
    <row r="55" spans="1:27" ht="14" thickBot="1">
      <c r="A55" s="1"/>
      <c r="B55" s="1"/>
      <c r="C55" s="1"/>
      <c r="D55" s="1"/>
      <c r="E55" s="1"/>
      <c r="F55" s="1"/>
      <c r="G55" s="1"/>
      <c r="H55" s="74" t="s">
        <v>368</v>
      </c>
      <c r="I55" s="1"/>
      <c r="J55" s="1"/>
      <c r="K55" s="1"/>
      <c r="L55" s="470">
        <f>'3-Link Scenario Planner'!E11</f>
        <v>1</v>
      </c>
      <c r="M55" s="135" t="s">
        <v>436</v>
      </c>
      <c r="N55" s="1"/>
      <c r="O55" s="1"/>
      <c r="P55" s="1"/>
      <c r="Q55" s="1"/>
      <c r="R55" s="1"/>
      <c r="S55" s="1"/>
      <c r="T55" s="1"/>
      <c r="U55" s="1"/>
      <c r="V55" s="1"/>
      <c r="W55" s="1"/>
      <c r="X55" s="1"/>
      <c r="Y55" s="1"/>
      <c r="Z55" s="1"/>
      <c r="AA55" s="1"/>
    </row>
    <row r="56" spans="1:27">
      <c r="A56" s="1"/>
      <c r="B56" s="1"/>
      <c r="C56" s="1"/>
      <c r="D56" s="1"/>
      <c r="E56" s="1"/>
      <c r="F56" s="1"/>
      <c r="G56" s="1"/>
      <c r="H56" s="74" t="s">
        <v>208</v>
      </c>
      <c r="I56" s="1"/>
      <c r="J56" s="1"/>
      <c r="K56" s="1"/>
      <c r="L56" s="1"/>
      <c r="M56" s="1"/>
      <c r="N56" s="1"/>
      <c r="O56" s="1"/>
      <c r="P56" s="1"/>
      <c r="Q56" s="1"/>
      <c r="R56" s="1"/>
      <c r="S56" s="1"/>
      <c r="T56" s="1"/>
      <c r="U56" s="1"/>
      <c r="V56" s="1"/>
      <c r="W56" s="1"/>
      <c r="X56" s="1"/>
      <c r="Y56" s="1"/>
      <c r="Z56" s="1"/>
      <c r="AA56" s="1"/>
    </row>
    <row r="57" spans="1:27">
      <c r="A57" s="1"/>
      <c r="B57" s="1"/>
      <c r="C57" s="1"/>
      <c r="D57" s="1"/>
      <c r="E57" s="1"/>
      <c r="F57" s="1"/>
      <c r="G57" s="1"/>
      <c r="H57" s="1"/>
      <c r="I57" s="1"/>
      <c r="J57" s="1"/>
      <c r="K57" s="1"/>
      <c r="L57" s="1"/>
      <c r="M57" s="1"/>
      <c r="N57" s="1"/>
      <c r="O57" s="1"/>
      <c r="P57" s="1"/>
      <c r="Q57" s="1"/>
      <c r="R57" s="1"/>
      <c r="S57" s="1"/>
      <c r="T57" s="1"/>
      <c r="U57" s="1"/>
      <c r="V57" s="1"/>
      <c r="W57" s="1"/>
      <c r="X57" s="1"/>
      <c r="Y57" s="1"/>
      <c r="Z57" s="1"/>
      <c r="AA57" s="1"/>
    </row>
    <row r="58" spans="1:27">
      <c r="A58" s="1"/>
      <c r="B58" s="1"/>
      <c r="C58" s="1"/>
      <c r="D58" s="1"/>
      <c r="E58" s="1"/>
      <c r="F58" s="1"/>
      <c r="G58" s="1"/>
      <c r="H58" s="1"/>
      <c r="I58" s="1"/>
      <c r="J58" s="1"/>
      <c r="K58" s="1"/>
      <c r="L58" s="1"/>
      <c r="M58" s="1"/>
      <c r="N58" s="1"/>
      <c r="O58" s="1"/>
      <c r="P58" s="1"/>
      <c r="Q58" s="1"/>
      <c r="R58" s="1"/>
      <c r="S58" s="1"/>
      <c r="T58" s="1"/>
      <c r="U58" s="1"/>
      <c r="V58" s="1"/>
      <c r="W58" s="1"/>
      <c r="X58" s="1"/>
      <c r="Y58" s="1"/>
      <c r="Z58" s="1"/>
      <c r="AA58" s="1"/>
    </row>
    <row r="59" spans="1:27">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ht="14" thickBot="1">
      <c r="A64" s="1"/>
      <c r="B64" s="1"/>
      <c r="C64" s="1"/>
      <c r="D64" s="1"/>
      <c r="E64" s="1"/>
      <c r="F64" s="1"/>
      <c r="G64" s="1"/>
      <c r="H64" s="69" t="s">
        <v>3</v>
      </c>
      <c r="I64" s="1"/>
      <c r="J64" s="1"/>
      <c r="K64" s="1"/>
      <c r="L64" s="1"/>
      <c r="M64" s="1"/>
      <c r="N64" s="1"/>
      <c r="O64" s="1"/>
      <c r="P64" s="1"/>
      <c r="Q64" s="1"/>
      <c r="R64" s="1"/>
      <c r="S64" s="1"/>
      <c r="T64" s="1"/>
      <c r="U64" s="1"/>
      <c r="V64" s="1"/>
      <c r="W64" s="1"/>
      <c r="X64" s="1"/>
      <c r="Y64" s="1"/>
      <c r="Z64" s="1"/>
      <c r="AA64" s="1"/>
    </row>
    <row r="65" spans="1:27" ht="14" thickBot="1">
      <c r="A65" s="1"/>
      <c r="B65" s="125" t="s">
        <v>97</v>
      </c>
      <c r="C65" s="1"/>
      <c r="D65" s="138">
        <v>2</v>
      </c>
      <c r="E65" s="1"/>
      <c r="F65" s="858">
        <f>-'4A-Orbit'!K37</f>
        <v>3.032317630156677</v>
      </c>
      <c r="G65" s="1"/>
      <c r="H65" s="129" t="s">
        <v>360</v>
      </c>
      <c r="I65" s="1"/>
      <c r="J65" s="138">
        <v>8</v>
      </c>
      <c r="K65" s="1"/>
      <c r="L65" s="503">
        <f>D13</f>
        <v>10</v>
      </c>
      <c r="M65" s="1"/>
      <c r="N65" s="1"/>
      <c r="O65" s="1"/>
      <c r="P65" s="1"/>
      <c r="Q65" s="1"/>
      <c r="R65" s="1"/>
      <c r="S65" s="1"/>
      <c r="T65" s="1"/>
      <c r="U65" s="1"/>
      <c r="V65" s="1"/>
      <c r="W65" s="1"/>
      <c r="X65" s="1"/>
      <c r="Y65" s="1"/>
      <c r="Z65" s="1"/>
      <c r="AA65" s="1"/>
    </row>
    <row r="66" spans="1:27">
      <c r="A66" s="1"/>
      <c r="B66" s="1"/>
      <c r="C66" s="1"/>
      <c r="D66" s="128"/>
      <c r="E66" s="1"/>
      <c r="F66" s="105" t="s">
        <v>3</v>
      </c>
      <c r="G66" s="1"/>
      <c r="H66" s="1"/>
      <c r="I66" s="1"/>
      <c r="J66" s="128"/>
      <c r="K66" s="1"/>
      <c r="L66" s="131"/>
      <c r="M66" s="1"/>
      <c r="N66" s="1"/>
      <c r="O66" s="1"/>
      <c r="P66" s="1"/>
      <c r="Q66" s="1"/>
      <c r="R66" s="1"/>
      <c r="S66" s="1"/>
      <c r="T66" s="1"/>
      <c r="U66" s="1"/>
      <c r="V66" s="1"/>
      <c r="W66" s="1"/>
      <c r="X66" s="1"/>
      <c r="Y66" s="1"/>
      <c r="Z66" s="1"/>
      <c r="AA66" s="1"/>
    </row>
    <row r="67" spans="1:27" ht="14" thickBot="1">
      <c r="A67" s="1"/>
      <c r="B67" s="1"/>
      <c r="C67" s="1"/>
      <c r="D67" s="128"/>
      <c r="E67" s="1"/>
      <c r="F67" s="1"/>
      <c r="G67" s="1"/>
      <c r="H67" s="1"/>
      <c r="I67" s="1"/>
      <c r="J67" s="128"/>
      <c r="K67" s="1"/>
      <c r="L67" s="1"/>
      <c r="M67" s="1"/>
      <c r="N67" s="1"/>
      <c r="O67" s="1"/>
      <c r="P67" s="1"/>
      <c r="Q67" s="1"/>
      <c r="R67" s="1"/>
      <c r="S67" s="1"/>
      <c r="T67" s="1"/>
      <c r="U67" s="1"/>
      <c r="V67" s="1"/>
      <c r="W67" s="1"/>
      <c r="X67" s="1"/>
      <c r="Y67" s="1"/>
      <c r="Z67" s="1"/>
      <c r="AA67" s="1"/>
    </row>
    <row r="68" spans="1:27" ht="14" thickBot="1">
      <c r="A68" s="1"/>
      <c r="B68" s="126" t="s">
        <v>98</v>
      </c>
      <c r="C68" s="1"/>
      <c r="D68" s="138">
        <v>3</v>
      </c>
      <c r="E68" s="1"/>
      <c r="F68" s="794">
        <f>M93</f>
        <v>21.788020650825842</v>
      </c>
      <c r="G68" s="1"/>
      <c r="H68" s="129" t="s">
        <v>164</v>
      </c>
      <c r="I68" s="1"/>
      <c r="J68" s="138">
        <v>9</v>
      </c>
      <c r="K68" s="1"/>
      <c r="L68" s="232">
        <v>0.2</v>
      </c>
      <c r="M68" s="1"/>
      <c r="N68" s="1"/>
      <c r="O68" s="1"/>
      <c r="P68" s="1"/>
      <c r="Q68" s="1"/>
      <c r="R68" s="1"/>
      <c r="S68" s="1"/>
      <c r="T68" s="1"/>
      <c r="U68" s="1"/>
      <c r="V68" s="1"/>
      <c r="W68" s="1"/>
      <c r="X68" s="1"/>
      <c r="Y68" s="1"/>
      <c r="Z68" s="1"/>
      <c r="AA68" s="1"/>
    </row>
    <row r="69" spans="1:27">
      <c r="A69" s="1"/>
      <c r="B69" s="1"/>
      <c r="C69" s="1"/>
      <c r="D69" s="128"/>
      <c r="E69" s="1"/>
      <c r="F69" s="105" t="s">
        <v>681</v>
      </c>
      <c r="G69" s="1"/>
      <c r="H69" s="1"/>
      <c r="I69" s="1"/>
      <c r="J69" s="128"/>
      <c r="K69" s="1"/>
      <c r="L69" s="1"/>
      <c r="M69" s="1"/>
      <c r="N69" s="1"/>
      <c r="O69" s="1"/>
      <c r="P69" s="1"/>
      <c r="Q69" s="1"/>
      <c r="R69" s="1"/>
      <c r="S69" s="1"/>
      <c r="T69" s="1"/>
      <c r="U69" s="1"/>
      <c r="V69" s="1"/>
      <c r="W69" s="1"/>
      <c r="X69" s="1"/>
      <c r="Y69" s="1"/>
      <c r="Z69" s="1"/>
      <c r="AA69" s="1"/>
    </row>
    <row r="70" spans="1:27" ht="15" thickBot="1">
      <c r="A70" s="1"/>
      <c r="B70" s="1"/>
      <c r="C70" s="1"/>
      <c r="D70" s="128"/>
      <c r="E70" s="1"/>
      <c r="F70" s="105" t="s">
        <v>682</v>
      </c>
      <c r="G70" s="69"/>
      <c r="H70" s="1"/>
      <c r="I70" s="1"/>
      <c r="J70" s="128"/>
      <c r="K70" s="1"/>
      <c r="L70" s="1"/>
      <c r="M70" s="1"/>
      <c r="N70" s="1"/>
      <c r="O70" s="1"/>
      <c r="P70" s="1"/>
      <c r="Q70" s="1"/>
      <c r="R70" s="1"/>
      <c r="S70" s="1"/>
      <c r="T70" s="1"/>
      <c r="U70" s="1"/>
      <c r="V70" s="1"/>
      <c r="W70" s="1"/>
      <c r="X70" s="1"/>
      <c r="Y70" s="1"/>
      <c r="Z70" s="1"/>
      <c r="AA70" s="1"/>
    </row>
    <row r="71" spans="1:27" ht="14" thickBot="1">
      <c r="A71" s="1"/>
      <c r="B71" s="92" t="s">
        <v>63</v>
      </c>
      <c r="C71" s="1"/>
      <c r="D71" s="138">
        <v>4</v>
      </c>
      <c r="E71" s="1"/>
      <c r="F71" s="232">
        <v>0.2</v>
      </c>
      <c r="G71" s="1"/>
      <c r="H71" s="130" t="s">
        <v>363</v>
      </c>
      <c r="I71" s="1"/>
      <c r="J71" s="138">
        <v>10</v>
      </c>
      <c r="K71" s="1"/>
      <c r="L71" s="232">
        <v>0.2</v>
      </c>
      <c r="M71" s="1"/>
      <c r="N71" s="1"/>
      <c r="O71" s="1"/>
      <c r="P71" s="1"/>
      <c r="Q71" s="1"/>
      <c r="R71" s="1"/>
      <c r="S71" s="1"/>
      <c r="T71" s="1"/>
      <c r="U71" s="1"/>
      <c r="V71" s="1"/>
      <c r="W71" s="1"/>
      <c r="X71" s="1"/>
      <c r="Y71" s="1"/>
      <c r="Z71" s="1"/>
      <c r="AA71" s="1"/>
    </row>
    <row r="72" spans="1:27">
      <c r="A72" s="1"/>
      <c r="B72" s="1"/>
      <c r="C72" s="1"/>
      <c r="D72" s="128"/>
      <c r="E72" s="1"/>
      <c r="F72" s="1"/>
      <c r="G72" s="1"/>
      <c r="H72" s="1"/>
      <c r="I72" s="1"/>
      <c r="J72" s="128"/>
      <c r="K72" s="1"/>
      <c r="L72" s="1"/>
      <c r="M72" s="1"/>
      <c r="N72" s="1"/>
      <c r="O72" s="1"/>
      <c r="P72" s="1"/>
      <c r="Q72" s="1"/>
      <c r="R72" s="1"/>
      <c r="S72" s="1"/>
      <c r="T72" s="1"/>
      <c r="U72" s="1"/>
      <c r="V72" s="1"/>
      <c r="W72" s="1"/>
      <c r="X72" s="1"/>
      <c r="Y72" s="1"/>
      <c r="Z72" s="1"/>
      <c r="AA72" s="1"/>
    </row>
    <row r="73" spans="1:27" ht="14" thickBot="1">
      <c r="A73" s="1"/>
      <c r="B73" s="1"/>
      <c r="C73" s="1"/>
      <c r="D73" s="128"/>
      <c r="E73" s="1"/>
      <c r="F73" s="1"/>
      <c r="G73" s="1"/>
      <c r="H73" s="1"/>
      <c r="I73" s="1"/>
      <c r="J73" s="128"/>
      <c r="K73" s="1"/>
      <c r="L73" s="1"/>
      <c r="M73" s="1"/>
      <c r="N73" s="1"/>
      <c r="O73" s="1"/>
      <c r="P73" s="1"/>
      <c r="Q73" s="1"/>
      <c r="R73" s="1"/>
      <c r="S73" s="1"/>
      <c r="T73" s="1"/>
      <c r="U73" s="1"/>
      <c r="V73" s="1"/>
      <c r="W73" s="1"/>
      <c r="X73" s="1"/>
      <c r="Y73" s="1"/>
      <c r="Z73" s="1"/>
      <c r="AA73" s="1"/>
    </row>
    <row r="74" spans="1:27" ht="14" thickBot="1">
      <c r="A74" s="1"/>
      <c r="B74" s="126" t="s">
        <v>359</v>
      </c>
      <c r="C74" s="1"/>
      <c r="D74" s="138">
        <v>5</v>
      </c>
      <c r="E74" s="1"/>
      <c r="F74" s="232">
        <v>0.8</v>
      </c>
      <c r="G74" s="1"/>
      <c r="H74" s="126" t="s">
        <v>361</v>
      </c>
      <c r="I74" s="1"/>
      <c r="J74" s="138">
        <v>11</v>
      </c>
      <c r="K74" s="1"/>
      <c r="L74" s="794">
        <f>F93</f>
        <v>17.218614897305617</v>
      </c>
      <c r="M74" s="1"/>
      <c r="N74" s="1"/>
      <c r="O74" s="1"/>
      <c r="P74" s="1"/>
      <c r="Q74" s="1"/>
      <c r="R74" s="1"/>
      <c r="S74" s="1"/>
      <c r="T74" s="1"/>
      <c r="U74" s="1"/>
      <c r="V74" s="1"/>
      <c r="W74" s="1"/>
      <c r="X74" s="1"/>
      <c r="Y74" s="1"/>
      <c r="Z74" s="1"/>
      <c r="AA74" s="1"/>
    </row>
    <row r="75" spans="1:27">
      <c r="A75" s="1"/>
      <c r="B75" s="1"/>
      <c r="C75" s="1"/>
      <c r="D75" s="128"/>
      <c r="E75" s="1"/>
      <c r="F75" s="1"/>
      <c r="G75" s="1"/>
      <c r="H75" s="1"/>
      <c r="I75" s="1"/>
      <c r="J75" s="128"/>
      <c r="K75" s="1"/>
      <c r="L75" s="105" t="s">
        <v>709</v>
      </c>
      <c r="M75" s="1"/>
      <c r="N75" s="1"/>
      <c r="O75" s="1"/>
      <c r="P75" s="1"/>
      <c r="Q75" s="1"/>
      <c r="R75" s="1"/>
      <c r="S75" s="1"/>
      <c r="T75" s="1"/>
      <c r="U75" s="1"/>
      <c r="V75" s="1"/>
      <c r="W75" s="1"/>
      <c r="X75" s="1"/>
      <c r="Y75" s="1"/>
      <c r="Z75" s="1"/>
      <c r="AA75" s="1"/>
    </row>
    <row r="76" spans="1:27" ht="15" thickBot="1">
      <c r="A76" s="1"/>
      <c r="B76" s="1"/>
      <c r="C76" s="1"/>
      <c r="D76" s="128"/>
      <c r="E76" s="1"/>
      <c r="F76" s="1"/>
      <c r="G76" s="1"/>
      <c r="H76" s="1"/>
      <c r="I76" s="1"/>
      <c r="J76" s="128"/>
      <c r="K76" s="1"/>
      <c r="L76" s="105" t="s">
        <v>710</v>
      </c>
      <c r="M76" s="1"/>
      <c r="N76" s="1"/>
      <c r="O76" s="1"/>
      <c r="P76" s="1"/>
      <c r="Q76" s="1"/>
      <c r="R76" s="1"/>
      <c r="S76" s="1"/>
      <c r="T76" s="1"/>
      <c r="U76" s="1"/>
      <c r="V76" s="1"/>
      <c r="W76" s="1"/>
      <c r="X76" s="1"/>
      <c r="Y76" s="1"/>
      <c r="Z76" s="1"/>
      <c r="AA76" s="1"/>
    </row>
    <row r="77" spans="1:27" ht="14" thickBot="1">
      <c r="A77" s="1"/>
      <c r="B77" s="92" t="s">
        <v>358</v>
      </c>
      <c r="C77" s="1"/>
      <c r="D77" s="138">
        <v>7</v>
      </c>
      <c r="E77" s="1"/>
      <c r="F77" s="367">
        <v>120</v>
      </c>
      <c r="G77" s="1"/>
      <c r="H77" s="126" t="s">
        <v>362</v>
      </c>
      <c r="I77" s="1"/>
      <c r="J77" s="138">
        <v>12</v>
      </c>
      <c r="K77" s="1"/>
      <c r="L77" s="857">
        <f>-('4A-Orbit'!K36)</f>
        <v>0.99695495164283776</v>
      </c>
      <c r="M77" s="1"/>
      <c r="N77" s="1"/>
      <c r="O77" s="1"/>
      <c r="P77" s="1"/>
      <c r="Q77" s="1"/>
      <c r="R77" s="1"/>
      <c r="S77" s="1"/>
      <c r="T77" s="1"/>
      <c r="U77" s="1"/>
      <c r="V77" s="1"/>
      <c r="W77" s="1"/>
      <c r="X77" s="1"/>
      <c r="Y77" s="1"/>
      <c r="Z77" s="1"/>
      <c r="AA77" s="1"/>
    </row>
    <row r="78" spans="1:27">
      <c r="A78" s="1"/>
      <c r="B78" s="1"/>
      <c r="C78" s="1"/>
      <c r="D78" s="128"/>
      <c r="E78" s="1"/>
      <c r="F78" s="1"/>
      <c r="G78" s="1"/>
      <c r="H78" s="1"/>
      <c r="I78" s="1"/>
      <c r="J78" s="128"/>
      <c r="K78" s="1"/>
      <c r="L78" s="105" t="s">
        <v>3</v>
      </c>
      <c r="M78" s="1"/>
      <c r="N78" s="1"/>
      <c r="O78" s="1"/>
      <c r="P78" s="1"/>
      <c r="Q78" s="1"/>
      <c r="R78" s="1"/>
      <c r="S78" s="1"/>
      <c r="T78" s="1"/>
      <c r="U78" s="1"/>
      <c r="V78" s="1"/>
      <c r="W78" s="1"/>
      <c r="X78" s="1"/>
      <c r="Y78" s="1"/>
      <c r="Z78" s="1"/>
      <c r="AA78" s="1"/>
    </row>
    <row r="79" spans="1:27" ht="14" thickBot="1">
      <c r="A79" s="1"/>
      <c r="B79" s="1"/>
      <c r="C79" s="1"/>
      <c r="D79" s="128"/>
      <c r="E79" s="1"/>
      <c r="F79" s="1"/>
      <c r="G79" s="1"/>
      <c r="H79" s="1"/>
      <c r="I79" s="1"/>
      <c r="J79" s="128"/>
      <c r="K79" s="1"/>
      <c r="L79" s="1"/>
      <c r="M79" s="1"/>
      <c r="N79" s="1"/>
      <c r="O79" s="1"/>
      <c r="P79" s="1"/>
      <c r="Q79" s="1"/>
      <c r="R79" s="1"/>
      <c r="S79" s="1"/>
      <c r="T79" s="1"/>
      <c r="U79" s="1"/>
      <c r="V79" s="1"/>
      <c r="W79" s="1"/>
      <c r="X79" s="1"/>
      <c r="Y79" s="1"/>
      <c r="Z79" s="1"/>
      <c r="AA79" s="1"/>
    </row>
    <row r="80" spans="1:27" ht="14" thickBot="1">
      <c r="A80" s="1"/>
      <c r="B80" s="92" t="s">
        <v>65</v>
      </c>
      <c r="C80" s="1"/>
      <c r="D80" s="138">
        <v>6</v>
      </c>
      <c r="E80" s="1"/>
      <c r="F80" s="367">
        <v>270</v>
      </c>
      <c r="G80" s="1"/>
      <c r="H80" s="126" t="s">
        <v>167</v>
      </c>
      <c r="I80" s="1"/>
      <c r="J80" s="138">
        <v>13</v>
      </c>
      <c r="K80" s="1"/>
      <c r="L80" s="133">
        <f>10*LOG(L65)-L68-L71+L74</f>
        <v>26.818614897305618</v>
      </c>
      <c r="M80" s="1"/>
      <c r="N80" s="1"/>
      <c r="O80" s="1"/>
      <c r="P80" s="1"/>
      <c r="Q80" s="1"/>
      <c r="R80" s="1"/>
      <c r="S80" s="1"/>
      <c r="T80" s="1"/>
      <c r="U80" s="1"/>
      <c r="V80" s="1"/>
      <c r="W80" s="1"/>
      <c r="X80" s="1"/>
      <c r="Y80" s="1"/>
      <c r="Z80" s="1"/>
      <c r="AA80" s="1"/>
    </row>
    <row r="81" spans="1:27">
      <c r="A81" s="1"/>
      <c r="B81" s="1"/>
      <c r="C81" s="1"/>
      <c r="D81" s="128"/>
      <c r="E81" s="1"/>
      <c r="F81" s="1"/>
      <c r="G81" s="1"/>
      <c r="H81" s="1"/>
      <c r="I81" s="1"/>
      <c r="J81" s="128"/>
      <c r="K81" s="1" t="s">
        <v>3</v>
      </c>
      <c r="L81" s="1"/>
      <c r="M81" s="1"/>
      <c r="N81" s="1"/>
      <c r="O81" s="1"/>
      <c r="P81" s="1"/>
      <c r="Q81" s="1"/>
      <c r="R81" s="1"/>
      <c r="S81" s="1"/>
      <c r="T81" s="1"/>
      <c r="U81" s="1"/>
      <c r="V81" s="1"/>
      <c r="W81" s="1"/>
      <c r="X81" s="1"/>
      <c r="Y81" s="1"/>
      <c r="Z81" s="1"/>
      <c r="AA81" s="1"/>
    </row>
    <row r="82" spans="1:27" ht="14" thickBot="1">
      <c r="A82" s="1"/>
      <c r="B82" s="1"/>
      <c r="C82" s="1"/>
      <c r="D82" s="128"/>
      <c r="E82" s="1"/>
      <c r="F82" s="1"/>
      <c r="G82" s="1"/>
      <c r="H82" s="1"/>
      <c r="I82" s="1"/>
      <c r="J82" s="128"/>
      <c r="K82" s="1"/>
      <c r="L82" s="1"/>
      <c r="M82" s="1"/>
      <c r="N82" s="1"/>
      <c r="O82" s="1"/>
      <c r="P82" s="1"/>
      <c r="Q82" s="1"/>
      <c r="R82" s="1"/>
      <c r="S82" s="1"/>
      <c r="T82" s="1"/>
      <c r="U82" s="1"/>
      <c r="V82" s="1"/>
      <c r="W82" s="1"/>
      <c r="X82" s="1"/>
      <c r="Y82" s="1"/>
      <c r="Z82" s="1"/>
      <c r="AA82" s="1"/>
    </row>
    <row r="83" spans="1:27" ht="14" thickBot="1">
      <c r="A83" s="1"/>
      <c r="B83" s="92" t="s">
        <v>66</v>
      </c>
      <c r="C83" s="1"/>
      <c r="D83" s="138">
        <v>1</v>
      </c>
      <c r="E83" s="1"/>
      <c r="F83" s="367">
        <v>250</v>
      </c>
      <c r="G83" s="1"/>
      <c r="H83" s="126" t="s">
        <v>168</v>
      </c>
      <c r="I83" s="1"/>
      <c r="J83" s="138">
        <v>14</v>
      </c>
      <c r="K83" s="1"/>
      <c r="L83" s="134">
        <f>'8-Uplink Budget'!C35</f>
        <v>-4.9420123994607792</v>
      </c>
      <c r="M83" s="1"/>
      <c r="N83" s="1"/>
      <c r="O83" s="1"/>
      <c r="P83" s="1"/>
      <c r="Q83" s="1"/>
      <c r="R83" s="1"/>
      <c r="S83" s="1"/>
      <c r="T83" s="1"/>
      <c r="U83" s="1"/>
      <c r="V83" s="1"/>
      <c r="W83" s="1"/>
      <c r="X83" s="1"/>
      <c r="Y83" s="1"/>
      <c r="Z83" s="1"/>
      <c r="AA83" s="1"/>
    </row>
    <row r="84" spans="1:27">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ht="14" thickBot="1">
      <c r="A85" s="1"/>
      <c r="B85" s="1"/>
      <c r="C85" s="81"/>
      <c r="D85" s="81"/>
      <c r="E85" s="81"/>
      <c r="F85" s="81"/>
      <c r="G85" s="81"/>
      <c r="H85" s="81"/>
      <c r="I85" s="81"/>
      <c r="J85" s="81"/>
      <c r="K85" s="81"/>
      <c r="L85" s="81"/>
      <c r="M85" s="81"/>
      <c r="N85" s="81"/>
      <c r="O85" s="81"/>
      <c r="P85" s="81"/>
      <c r="Q85" s="81"/>
      <c r="R85" s="81"/>
      <c r="S85" s="81"/>
      <c r="T85" s="81"/>
      <c r="U85" s="81"/>
      <c r="V85" s="81"/>
      <c r="W85" s="81"/>
      <c r="X85" s="81"/>
      <c r="Y85" s="81"/>
      <c r="Z85" s="81"/>
      <c r="AA85" s="81"/>
    </row>
    <row r="86" spans="1:27" ht="17" thickBot="1">
      <c r="A86" s="924" t="s">
        <v>741</v>
      </c>
      <c r="B86" s="925"/>
      <c r="C86" s="1"/>
      <c r="D86" s="1"/>
      <c r="E86" s="347" t="s">
        <v>3</v>
      </c>
      <c r="F86" s="1"/>
      <c r="G86" s="1"/>
      <c r="H86" s="1"/>
      <c r="I86" s="1"/>
      <c r="J86" s="1"/>
      <c r="K86" s="1"/>
      <c r="L86" s="1"/>
      <c r="M86" s="1"/>
      <c r="N86" s="795"/>
      <c r="O86" s="1"/>
      <c r="P86" s="1"/>
      <c r="Q86" s="1"/>
      <c r="R86" s="1"/>
      <c r="S86" s="1"/>
      <c r="T86" s="1"/>
      <c r="U86" s="1"/>
      <c r="V86" s="1"/>
      <c r="W86" s="1"/>
      <c r="X86" s="1"/>
      <c r="Y86" s="1"/>
      <c r="Z86" s="1"/>
      <c r="AA86" s="1"/>
    </row>
    <row r="87" spans="1:27" ht="17" thickBot="1">
      <c r="A87" s="1"/>
      <c r="B87" s="1"/>
      <c r="C87" s="1"/>
      <c r="D87" s="1"/>
      <c r="E87" s="1"/>
      <c r="F87" s="1"/>
      <c r="G87" s="1"/>
      <c r="H87" s="1"/>
      <c r="I87" s="1"/>
      <c r="J87" s="1"/>
      <c r="K87" s="1"/>
      <c r="L87" s="1"/>
      <c r="M87" s="1"/>
      <c r="N87" s="80"/>
      <c r="O87" s="1"/>
      <c r="P87" s="910" t="s">
        <v>768</v>
      </c>
      <c r="Q87" s="1"/>
      <c r="R87" s="1"/>
      <c r="S87" s="1"/>
      <c r="T87" s="1"/>
      <c r="U87" s="1"/>
      <c r="V87" s="1"/>
      <c r="W87" s="1"/>
      <c r="X87" s="347" t="s">
        <v>759</v>
      </c>
      <c r="Y87" s="1"/>
      <c r="Z87" s="1"/>
      <c r="AA87" s="1"/>
    </row>
    <row r="88" spans="1:27" ht="14" thickBot="1">
      <c r="A88" s="1"/>
      <c r="B88" s="1"/>
      <c r="C88" s="1"/>
      <c r="D88" s="1"/>
      <c r="E88" s="1"/>
      <c r="F88" s="1"/>
      <c r="G88" s="1"/>
      <c r="H88" s="1"/>
      <c r="I88" s="1"/>
      <c r="J88" s="1"/>
      <c r="K88" s="1"/>
      <c r="L88" s="1"/>
      <c r="M88" s="1"/>
      <c r="N88" s="80"/>
      <c r="O88" s="1"/>
      <c r="P88" s="1"/>
      <c r="Q88" s="909" t="e">
        <f ca="1">'3-Link Scenario Planner'!$E$67</f>
        <v>#NAME?</v>
      </c>
      <c r="R88" s="347" t="s">
        <v>57</v>
      </c>
      <c r="S88" s="1"/>
      <c r="T88" s="1"/>
      <c r="U88" s="1"/>
      <c r="V88" s="1"/>
      <c r="W88" s="1"/>
      <c r="X88" s="347"/>
      <c r="Y88" s="904">
        <f>'4A-Orbit'!$K$30</f>
        <v>17.400982397943835</v>
      </c>
      <c r="Z88" s="787" t="s">
        <v>173</v>
      </c>
      <c r="AA88" s="1"/>
    </row>
    <row r="89" spans="1:27" ht="14" thickBot="1">
      <c r="A89" s="1"/>
      <c r="B89" s="1"/>
      <c r="C89" s="1"/>
      <c r="D89" s="1"/>
      <c r="E89" s="1"/>
      <c r="F89" s="1"/>
      <c r="G89" s="1"/>
      <c r="H89" s="1"/>
      <c r="I89" s="1"/>
      <c r="J89" s="1"/>
      <c r="K89" s="1"/>
      <c r="L89" s="1"/>
      <c r="M89" s="1"/>
      <c r="N89" s="80"/>
      <c r="O89" s="1"/>
      <c r="P89" s="1"/>
      <c r="Q89" s="1"/>
      <c r="R89" s="1"/>
      <c r="S89" s="1"/>
      <c r="T89" s="1"/>
      <c r="U89" s="1"/>
      <c r="V89" s="1"/>
      <c r="W89" s="1"/>
      <c r="X89" s="1"/>
      <c r="Y89" s="1"/>
      <c r="Z89" s="1"/>
      <c r="AA89" s="1"/>
    </row>
    <row r="90" spans="1:27" ht="17" thickBot="1">
      <c r="A90" s="1"/>
      <c r="B90" s="995" t="s">
        <v>715</v>
      </c>
      <c r="C90" s="996"/>
      <c r="D90" s="1"/>
      <c r="E90" s="1"/>
      <c r="F90" s="1"/>
      <c r="G90" s="1"/>
      <c r="H90" s="995" t="s">
        <v>725</v>
      </c>
      <c r="I90" s="997"/>
      <c r="J90" s="996"/>
      <c r="K90" s="1"/>
      <c r="L90" s="1"/>
      <c r="M90" s="1"/>
      <c r="N90" s="80"/>
      <c r="O90" s="1"/>
      <c r="P90" s="50" t="s">
        <v>767</v>
      </c>
      <c r="Q90" s="1"/>
      <c r="R90" s="1"/>
      <c r="S90" s="1"/>
      <c r="T90" s="1"/>
      <c r="U90" s="1"/>
      <c r="V90" s="1"/>
      <c r="W90" s="1"/>
      <c r="X90" s="347" t="s">
        <v>775</v>
      </c>
      <c r="Y90" s="1"/>
      <c r="Z90" s="1"/>
      <c r="AA90" s="1"/>
    </row>
    <row r="91" spans="1:27" ht="14" thickBot="1">
      <c r="A91" s="1"/>
      <c r="B91" s="1"/>
      <c r="C91" s="1"/>
      <c r="D91" s="1"/>
      <c r="E91" s="1"/>
      <c r="F91" s="1"/>
      <c r="G91" s="1"/>
      <c r="H91" s="1"/>
      <c r="I91" s="1"/>
      <c r="J91" s="1"/>
      <c r="K91" s="1"/>
      <c r="L91" s="1"/>
      <c r="M91" s="1"/>
      <c r="N91" s="80"/>
      <c r="O91" s="1"/>
      <c r="P91" s="1"/>
      <c r="Q91" s="908" t="e">
        <f ca="1">'3-Link Scenario Planner'!$E$41</f>
        <v>#NAME?</v>
      </c>
      <c r="R91" s="347" t="s">
        <v>57</v>
      </c>
      <c r="S91" s="1"/>
      <c r="T91" s="1"/>
      <c r="U91" s="1"/>
      <c r="V91" s="1"/>
      <c r="W91" s="1"/>
      <c r="X91" s="347"/>
      <c r="Y91" s="904">
        <f>'4A-Orbit'!$K$32</f>
        <v>8.7004911989719176</v>
      </c>
      <c r="Z91" s="787" t="s">
        <v>173</v>
      </c>
      <c r="AA91" s="1"/>
    </row>
    <row r="92" spans="1:27" ht="14" thickBot="1">
      <c r="A92" s="1"/>
      <c r="B92" s="1"/>
      <c r="C92" s="1"/>
      <c r="D92" s="1"/>
      <c r="E92" s="1"/>
      <c r="F92" s="347" t="s">
        <v>718</v>
      </c>
      <c r="G92" s="1"/>
      <c r="H92" s="1"/>
      <c r="I92" s="1"/>
      <c r="J92" s="1"/>
      <c r="K92" s="1"/>
      <c r="L92" s="1"/>
      <c r="M92" s="347" t="s">
        <v>718</v>
      </c>
      <c r="N92" s="80"/>
      <c r="O92" s="1"/>
      <c r="P92" s="1"/>
      <c r="Q92" s="1"/>
      <c r="R92" s="1"/>
      <c r="S92" s="1"/>
      <c r="T92" s="1"/>
      <c r="U92" s="1"/>
      <c r="V92" s="1"/>
      <c r="W92" s="1"/>
      <c r="X92" s="1"/>
      <c r="Y92" s="1"/>
      <c r="Z92" s="1"/>
      <c r="AA92" s="1"/>
    </row>
    <row r="93" spans="1:27" ht="17" thickBot="1">
      <c r="A93" s="1"/>
      <c r="B93" s="592" t="s">
        <v>716</v>
      </c>
      <c r="C93" s="792">
        <f>('5-Frequency'!C12)/1000</f>
        <v>10.475</v>
      </c>
      <c r="D93" s="789" t="s">
        <v>304</v>
      </c>
      <c r="E93" s="1"/>
      <c r="F93" s="848">
        <f>20.4+20*LOG10(C96)+20*LOG10(C93)+10*LOG10(C99/100)</f>
        <v>17.218614897305617</v>
      </c>
      <c r="G93" s="50" t="s">
        <v>722</v>
      </c>
      <c r="H93" s="981" t="s">
        <v>716</v>
      </c>
      <c r="I93" s="982"/>
      <c r="J93" s="792">
        <f>('5-Frequency'!C6)/1000</f>
        <v>24.024999999999999</v>
      </c>
      <c r="K93" s="789" t="s">
        <v>304</v>
      </c>
      <c r="L93" s="1"/>
      <c r="M93" s="848">
        <f>20.4+20*LOG10(J96)+20*LOG10(J93)+10*LOG10(J99/100)</f>
        <v>21.788020650825842</v>
      </c>
      <c r="N93" s="796" t="s">
        <v>722</v>
      </c>
      <c r="O93" s="1"/>
      <c r="P93" s="1"/>
      <c r="Q93" s="1"/>
      <c r="R93" s="1"/>
      <c r="S93" s="1"/>
      <c r="T93" s="1"/>
      <c r="U93" s="1"/>
      <c r="V93" s="1"/>
      <c r="W93" s="1"/>
      <c r="X93" s="347" t="s">
        <v>776</v>
      </c>
      <c r="Y93" s="1"/>
      <c r="Z93" s="1"/>
      <c r="AA93" s="1"/>
    </row>
    <row r="94" spans="1:27">
      <c r="A94" s="1"/>
      <c r="B94" s="1"/>
      <c r="C94" s="108"/>
      <c r="D94" s="98"/>
      <c r="E94" s="1"/>
      <c r="F94" s="1"/>
      <c r="G94" s="50"/>
      <c r="H94" s="1"/>
      <c r="I94" s="1"/>
      <c r="J94" s="108"/>
      <c r="K94" s="98"/>
      <c r="L94" s="1"/>
      <c r="M94" s="1"/>
      <c r="N94" s="796"/>
      <c r="O94" s="1"/>
      <c r="P94" s="1"/>
      <c r="Q94" s="1"/>
      <c r="R94" s="1"/>
      <c r="S94" s="1"/>
      <c r="T94" s="1"/>
      <c r="U94" s="1"/>
      <c r="V94" s="1"/>
      <c r="W94" s="1"/>
      <c r="X94" s="347"/>
      <c r="Y94" s="907">
        <f>'4A-Orbit'!$K$31</f>
        <v>0</v>
      </c>
      <c r="Z94" s="787" t="s">
        <v>173</v>
      </c>
      <c r="AA94" s="1"/>
    </row>
    <row r="95" spans="1:27" ht="14" thickBot="1">
      <c r="A95" s="1"/>
      <c r="B95" s="1"/>
      <c r="C95" s="108"/>
      <c r="D95" s="98"/>
      <c r="E95" s="1"/>
      <c r="F95" s="347" t="s">
        <v>719</v>
      </c>
      <c r="G95" s="50"/>
      <c r="H95" s="1"/>
      <c r="I95" s="1"/>
      <c r="J95" s="108"/>
      <c r="K95" s="98"/>
      <c r="L95" s="1"/>
      <c r="M95" s="347" t="s">
        <v>719</v>
      </c>
      <c r="N95" s="796"/>
      <c r="O95" s="1"/>
      <c r="P95" s="1"/>
      <c r="Q95" s="1"/>
      <c r="R95" s="1"/>
      <c r="S95" s="1"/>
      <c r="T95" s="1"/>
      <c r="U95" s="1"/>
      <c r="V95" s="1"/>
      <c r="W95" s="1"/>
      <c r="X95" s="1"/>
      <c r="Y95" s="1"/>
      <c r="Z95" s="1"/>
      <c r="AA95" s="1"/>
    </row>
    <row r="96" spans="1:27" ht="17" thickBot="1">
      <c r="A96" s="1"/>
      <c r="B96" s="592" t="s">
        <v>717</v>
      </c>
      <c r="C96" s="793">
        <v>7.3999999999999996E-2</v>
      </c>
      <c r="D96" s="789" t="s">
        <v>29</v>
      </c>
      <c r="E96" s="1"/>
      <c r="F96" s="848">
        <f>21/(C93*C96)</f>
        <v>27.091530671482943</v>
      </c>
      <c r="G96" s="798" t="s">
        <v>173</v>
      </c>
      <c r="H96" s="981" t="s">
        <v>717</v>
      </c>
      <c r="I96" s="982"/>
      <c r="J96" s="793">
        <v>5.4600000000000003E-2</v>
      </c>
      <c r="K96" s="789" t="s">
        <v>29</v>
      </c>
      <c r="L96" s="1"/>
      <c r="M96" s="848">
        <f>21/(J93*J96)</f>
        <v>16.008965020411431</v>
      </c>
      <c r="N96" s="797" t="s">
        <v>173</v>
      </c>
      <c r="O96" s="1"/>
      <c r="P96" s="347" t="s">
        <v>3</v>
      </c>
      <c r="Q96" s="1"/>
      <c r="R96" s="1"/>
      <c r="S96" s="1"/>
      <c r="T96" s="1"/>
      <c r="U96" s="1"/>
      <c r="V96" s="1"/>
      <c r="W96" s="1"/>
      <c r="X96" s="347" t="s">
        <v>777</v>
      </c>
      <c r="Y96" s="1"/>
      <c r="Z96" s="1"/>
      <c r="AA96" s="1"/>
    </row>
    <row r="97" spans="1:29">
      <c r="A97" s="1"/>
      <c r="B97" s="1"/>
      <c r="C97" s="108"/>
      <c r="D97" s="98"/>
      <c r="E97" s="1"/>
      <c r="F97" s="1"/>
      <c r="G97" s="50"/>
      <c r="H97" s="1"/>
      <c r="I97" s="1"/>
      <c r="J97" s="108"/>
      <c r="K97" s="98"/>
      <c r="L97" s="1"/>
      <c r="M97" s="1"/>
      <c r="N97" s="796"/>
      <c r="O97" s="1"/>
      <c r="P97" s="1"/>
      <c r="Q97" s="1"/>
      <c r="R97" s="1"/>
      <c r="S97" s="1"/>
      <c r="T97" s="1"/>
      <c r="U97" s="1"/>
      <c r="V97" s="1"/>
      <c r="W97" s="1"/>
      <c r="X97" s="347"/>
      <c r="Y97" s="907">
        <f>'4A-Orbit'!$K$33</f>
        <v>8.1720821540584971</v>
      </c>
      <c r="Z97" s="787" t="s">
        <v>173</v>
      </c>
      <c r="AA97" s="1"/>
    </row>
    <row r="98" spans="1:29" ht="17" thickBot="1">
      <c r="A98" s="1"/>
      <c r="B98" s="1"/>
      <c r="C98" s="108"/>
      <c r="D98" s="98"/>
      <c r="E98" s="1"/>
      <c r="F98" s="347" t="s">
        <v>720</v>
      </c>
      <c r="G98" s="50"/>
      <c r="H98" s="1"/>
      <c r="I98" s="1"/>
      <c r="J98" s="108"/>
      <c r="K98" s="98"/>
      <c r="L98" s="1"/>
      <c r="M98" s="347" t="s">
        <v>720</v>
      </c>
      <c r="N98" s="796"/>
      <c r="O98" s="1"/>
      <c r="P98" s="920" t="s">
        <v>774</v>
      </c>
      <c r="Q98" s="1"/>
      <c r="R98" s="1"/>
      <c r="S98" s="1"/>
      <c r="T98" s="1"/>
      <c r="U98" s="1"/>
      <c r="V98" s="1"/>
      <c r="W98" s="1"/>
      <c r="X98" s="1"/>
      <c r="Y98" s="1"/>
      <c r="Z98" s="1"/>
      <c r="AA98" s="1"/>
    </row>
    <row r="99" spans="1:29" ht="17" thickBot="1">
      <c r="A99" s="1"/>
      <c r="B99" s="592" t="s">
        <v>307</v>
      </c>
      <c r="C99" s="788">
        <v>80</v>
      </c>
      <c r="D99" s="789" t="s">
        <v>293</v>
      </c>
      <c r="E99" s="1"/>
      <c r="F99" s="790">
        <f>299.8/(C93*1000)</f>
        <v>2.8620525059665874E-2</v>
      </c>
      <c r="G99" s="50" t="s">
        <v>723</v>
      </c>
      <c r="H99" s="981" t="s">
        <v>307</v>
      </c>
      <c r="I99" s="982"/>
      <c r="J99" s="788">
        <v>80</v>
      </c>
      <c r="K99" s="789" t="s">
        <v>293</v>
      </c>
      <c r="L99" s="1"/>
      <c r="M99" s="790">
        <f>299.8/(J93*1000)</f>
        <v>1.2478668054110303E-2</v>
      </c>
      <c r="N99" s="796" t="s">
        <v>723</v>
      </c>
      <c r="O99" s="1"/>
      <c r="P99" s="1"/>
      <c r="Q99" s="1"/>
      <c r="R99" s="1"/>
      <c r="S99" s="1"/>
      <c r="T99" s="1"/>
      <c r="U99" s="1"/>
      <c r="V99" s="1"/>
      <c r="W99" s="1"/>
      <c r="X99" s="347" t="s">
        <v>760</v>
      </c>
      <c r="Y99" s="1"/>
      <c r="Z99" s="1"/>
      <c r="AA99" s="1"/>
    </row>
    <row r="100" spans="1:29">
      <c r="A100" s="1"/>
      <c r="B100" s="1"/>
      <c r="C100" s="1"/>
      <c r="D100" s="1"/>
      <c r="E100" s="1"/>
      <c r="F100" s="1"/>
      <c r="G100" s="1"/>
      <c r="H100" s="1"/>
      <c r="I100" s="1"/>
      <c r="J100" s="1"/>
      <c r="K100" s="1"/>
      <c r="L100" s="1"/>
      <c r="M100" s="1"/>
      <c r="N100" s="80"/>
      <c r="O100" s="1"/>
      <c r="P100" s="1"/>
      <c r="Q100" s="1"/>
      <c r="R100" s="1"/>
      <c r="S100" s="1"/>
      <c r="T100" s="1"/>
      <c r="U100" s="1"/>
      <c r="V100" s="1"/>
      <c r="W100" s="1"/>
      <c r="X100" s="347"/>
      <c r="Y100" s="904">
        <f>'4A-Orbit'!$G$26</f>
        <v>20</v>
      </c>
      <c r="Z100" s="787" t="s">
        <v>173</v>
      </c>
      <c r="AA100" s="1"/>
    </row>
    <row r="101" spans="1:29" ht="14" thickBot="1">
      <c r="A101" s="1"/>
      <c r="B101" s="1"/>
      <c r="C101" s="1"/>
      <c r="D101" s="1"/>
      <c r="E101" s="1"/>
      <c r="F101" s="347" t="s">
        <v>721</v>
      </c>
      <c r="G101" s="1"/>
      <c r="H101" s="1"/>
      <c r="I101" s="1"/>
      <c r="J101" s="1"/>
      <c r="K101" s="1"/>
      <c r="L101" s="1"/>
      <c r="M101" s="347" t="s">
        <v>721</v>
      </c>
      <c r="N101" s="80"/>
      <c r="O101" s="1"/>
      <c r="P101" s="1"/>
      <c r="Q101" s="1"/>
      <c r="R101" s="1"/>
      <c r="S101" s="1"/>
      <c r="T101" s="1"/>
      <c r="U101" s="1"/>
      <c r="V101" s="1"/>
      <c r="W101" s="1"/>
      <c r="X101" s="347"/>
      <c r="Y101" s="1"/>
      <c r="Z101" s="1"/>
      <c r="AA101" s="1"/>
    </row>
    <row r="102" spans="1:29" ht="17" thickBot="1">
      <c r="A102" s="1"/>
      <c r="B102" s="1"/>
      <c r="C102" s="1"/>
      <c r="D102" s="1"/>
      <c r="E102" s="1"/>
      <c r="F102" s="791">
        <f>C96/F99</f>
        <v>2.5855570380253501</v>
      </c>
      <c r="G102" s="798" t="s">
        <v>724</v>
      </c>
      <c r="H102" s="1"/>
      <c r="I102" s="1"/>
      <c r="J102" s="1"/>
      <c r="K102" s="1"/>
      <c r="L102" s="1"/>
      <c r="M102" s="791">
        <f>J96/M99</f>
        <v>4.3754669779853232</v>
      </c>
      <c r="N102" s="797" t="s">
        <v>724</v>
      </c>
      <c r="O102" s="1"/>
      <c r="P102" s="1"/>
      <c r="Q102" s="1"/>
      <c r="R102" s="1"/>
      <c r="S102" s="1"/>
      <c r="T102" s="1"/>
      <c r="U102" s="1"/>
      <c r="V102" s="1"/>
      <c r="W102" s="1"/>
      <c r="X102" s="347" t="s">
        <v>773</v>
      </c>
      <c r="Y102" s="1"/>
      <c r="Z102" s="1"/>
      <c r="AA102" s="1"/>
    </row>
    <row r="103" spans="1:29">
      <c r="A103" s="1"/>
      <c r="B103" s="1"/>
      <c r="C103" s="1"/>
      <c r="D103" s="1"/>
      <c r="E103" s="69" t="s">
        <v>3</v>
      </c>
      <c r="F103" s="1"/>
      <c r="G103" s="1"/>
      <c r="H103" s="1"/>
      <c r="I103" s="1"/>
      <c r="J103" s="1"/>
      <c r="K103" s="1"/>
      <c r="L103" s="69" t="s">
        <v>3</v>
      </c>
      <c r="M103" s="1"/>
      <c r="N103" s="80"/>
      <c r="O103" s="1"/>
      <c r="P103" s="1"/>
      <c r="Q103" s="1"/>
      <c r="R103" s="1"/>
      <c r="S103" s="1"/>
      <c r="T103" s="1"/>
      <c r="U103" s="1"/>
      <c r="V103" s="1"/>
      <c r="W103" s="1"/>
      <c r="X103" s="347"/>
      <c r="Y103" s="907">
        <f>'4A-Orbit'!$K$34</f>
        <v>13.545765335741471</v>
      </c>
      <c r="Z103" s="787" t="s">
        <v>173</v>
      </c>
      <c r="AA103" s="1"/>
    </row>
    <row r="104" spans="1:29">
      <c r="A104" s="1"/>
      <c r="B104" s="1"/>
      <c r="C104" s="1"/>
      <c r="D104" s="347" t="s">
        <v>3</v>
      </c>
      <c r="E104" s="1"/>
      <c r="F104" s="1"/>
      <c r="G104" s="1"/>
      <c r="H104" s="1"/>
      <c r="I104" s="1"/>
      <c r="J104" s="1"/>
      <c r="K104" s="347" t="s">
        <v>3</v>
      </c>
      <c r="L104" s="1"/>
      <c r="M104" s="1"/>
      <c r="N104" s="80"/>
      <c r="O104" s="1"/>
      <c r="P104" s="1"/>
      <c r="Q104" s="1"/>
      <c r="R104" s="1"/>
      <c r="S104" s="1"/>
      <c r="T104" s="1"/>
      <c r="U104" s="1"/>
      <c r="V104" s="1"/>
      <c r="W104" s="1"/>
      <c r="X104" s="347"/>
      <c r="Y104" s="1"/>
      <c r="Z104" s="1"/>
      <c r="AA104" s="1"/>
    </row>
    <row r="105" spans="1:29" ht="16">
      <c r="A105" s="1"/>
      <c r="B105" s="1"/>
      <c r="C105" s="1"/>
      <c r="D105" s="1"/>
      <c r="E105" s="1"/>
      <c r="F105" s="1"/>
      <c r="G105" s="347" t="s">
        <v>3</v>
      </c>
      <c r="H105" s="1"/>
      <c r="I105" s="1"/>
      <c r="J105" s="1"/>
      <c r="K105" s="1"/>
      <c r="L105" s="1"/>
      <c r="M105" s="1"/>
      <c r="N105" s="80"/>
      <c r="O105" s="1"/>
      <c r="P105" s="1"/>
      <c r="Q105" s="1"/>
      <c r="R105" s="1"/>
      <c r="S105" s="1"/>
      <c r="T105" s="1"/>
      <c r="U105" s="1"/>
      <c r="V105" s="1"/>
      <c r="W105" s="1"/>
      <c r="X105" s="347" t="s">
        <v>771</v>
      </c>
      <c r="Y105" s="1"/>
      <c r="Z105" s="1"/>
      <c r="AA105" s="1"/>
    </row>
    <row r="106" spans="1:29">
      <c r="A106" s="1"/>
      <c r="B106" s="1"/>
      <c r="C106" s="1"/>
      <c r="D106" s="69" t="s">
        <v>3</v>
      </c>
      <c r="E106" s="1"/>
      <c r="F106" s="1"/>
      <c r="G106" s="1"/>
      <c r="H106" s="1"/>
      <c r="I106" s="1"/>
      <c r="J106" s="1"/>
      <c r="K106" s="1"/>
      <c r="L106" s="1"/>
      <c r="M106" s="1"/>
      <c r="N106" s="80"/>
      <c r="O106" s="1"/>
      <c r="P106" s="1"/>
      <c r="Q106" s="1"/>
      <c r="R106" s="1"/>
      <c r="S106" s="1"/>
      <c r="T106" s="1"/>
      <c r="U106" s="1"/>
      <c r="V106" s="1"/>
      <c r="W106" s="1"/>
      <c r="X106" s="347"/>
      <c r="Y106" s="907">
        <f>'4A-Orbit'!$K$35</f>
        <v>8.0044825102057153</v>
      </c>
      <c r="Z106" s="787" t="s">
        <v>173</v>
      </c>
      <c r="AA106" s="1"/>
    </row>
    <row r="107" spans="1:29">
      <c r="A107" s="1"/>
      <c r="B107" s="1"/>
      <c r="C107" s="1"/>
      <c r="D107" s="139" t="s">
        <v>140</v>
      </c>
      <c r="E107" s="1"/>
      <c r="F107" s="1"/>
      <c r="G107" s="1"/>
      <c r="H107" s="1"/>
      <c r="I107" s="1"/>
      <c r="J107" s="1"/>
      <c r="K107" s="1"/>
      <c r="L107" s="1"/>
      <c r="M107" s="1"/>
      <c r="N107" s="80"/>
      <c r="O107" s="1"/>
      <c r="P107" s="1"/>
      <c r="Q107" s="1"/>
      <c r="R107" s="1"/>
      <c r="S107" s="1"/>
      <c r="T107" s="1"/>
      <c r="U107" s="1"/>
      <c r="V107" s="1"/>
      <c r="W107" s="1"/>
      <c r="X107" s="1"/>
      <c r="Y107" s="1"/>
      <c r="Z107" s="1"/>
      <c r="AA107" s="1"/>
    </row>
    <row r="108" spans="1:29">
      <c r="A108" s="1"/>
      <c r="B108" s="1"/>
      <c r="C108" s="1"/>
      <c r="D108" s="1"/>
      <c r="E108" s="1"/>
      <c r="F108" s="1"/>
      <c r="G108" s="1"/>
      <c r="H108" s="1"/>
      <c r="I108" s="1"/>
      <c r="J108" s="1"/>
      <c r="K108" s="1"/>
      <c r="L108" s="1"/>
      <c r="M108" s="1"/>
      <c r="N108" s="80"/>
      <c r="O108" s="1"/>
      <c r="P108" s="1"/>
      <c r="Q108" s="1"/>
      <c r="R108" s="1"/>
      <c r="S108" s="1"/>
      <c r="T108" s="1"/>
      <c r="U108" s="1"/>
      <c r="V108" s="1"/>
      <c r="W108" s="1"/>
      <c r="X108" s="347" t="s">
        <v>765</v>
      </c>
      <c r="Y108" s="1"/>
      <c r="Z108" s="1"/>
      <c r="AA108" s="1"/>
      <c r="AC108" s="610" t="s">
        <v>3</v>
      </c>
    </row>
    <row r="109" spans="1:29">
      <c r="A109" s="1"/>
      <c r="B109" s="1"/>
      <c r="C109" s="1"/>
      <c r="D109" s="1"/>
      <c r="E109" s="1"/>
      <c r="F109" s="1"/>
      <c r="G109" s="1"/>
      <c r="H109" s="1"/>
      <c r="I109" s="1"/>
      <c r="J109" s="1"/>
      <c r="K109" s="1"/>
      <c r="L109" s="1"/>
      <c r="M109" s="1"/>
      <c r="N109" s="80"/>
      <c r="O109" s="1"/>
      <c r="P109" s="1"/>
      <c r="Q109" s="1"/>
      <c r="R109" s="1"/>
      <c r="S109" s="1"/>
      <c r="T109" s="1"/>
      <c r="U109" s="1"/>
      <c r="V109" s="1"/>
      <c r="W109" s="1"/>
      <c r="X109" s="1"/>
      <c r="Y109" s="906">
        <f>'4A-Orbit'!$K$36</f>
        <v>-0.99695495164283776</v>
      </c>
      <c r="Z109" s="347" t="s">
        <v>31</v>
      </c>
      <c r="AA109" s="1"/>
    </row>
    <row r="110" spans="1:29">
      <c r="A110" s="1"/>
      <c r="B110" s="1"/>
      <c r="C110" s="1"/>
      <c r="D110" s="1"/>
      <c r="E110" s="1"/>
      <c r="F110" s="1"/>
      <c r="G110" s="1"/>
      <c r="H110" s="1"/>
      <c r="I110" s="1"/>
      <c r="J110" s="347" t="s">
        <v>3</v>
      </c>
      <c r="K110" s="1"/>
      <c r="L110" s="1"/>
      <c r="M110" s="1"/>
      <c r="N110" s="80"/>
      <c r="O110" s="1"/>
      <c r="P110" s="1"/>
      <c r="Q110" s="1"/>
      <c r="R110" s="1"/>
      <c r="S110" s="1"/>
      <c r="T110" s="1"/>
      <c r="U110" s="1"/>
      <c r="V110" s="1"/>
      <c r="W110" s="1"/>
      <c r="X110" s="1"/>
      <c r="Y110" s="1"/>
      <c r="Z110" s="1"/>
      <c r="AA110" s="1"/>
    </row>
    <row r="111" spans="1:29">
      <c r="A111" s="1"/>
      <c r="B111" s="1"/>
      <c r="C111" s="1"/>
      <c r="D111" s="1"/>
      <c r="E111" s="1"/>
      <c r="F111" s="1"/>
      <c r="G111" s="1"/>
      <c r="H111" s="1"/>
      <c r="I111" s="1"/>
      <c r="J111" s="1"/>
      <c r="K111" s="1"/>
      <c r="L111" s="1"/>
      <c r="M111" s="1"/>
      <c r="N111" s="80"/>
      <c r="O111" s="1"/>
      <c r="P111" s="1"/>
      <c r="Q111" s="1"/>
      <c r="R111" s="1"/>
      <c r="S111" s="1"/>
      <c r="T111" s="1"/>
      <c r="U111" s="1"/>
      <c r="V111" s="1"/>
      <c r="W111" s="1"/>
      <c r="X111" s="347" t="s">
        <v>766</v>
      </c>
      <c r="Y111" s="1"/>
      <c r="Z111" s="1"/>
      <c r="AA111" s="1"/>
    </row>
    <row r="112" spans="1:29">
      <c r="A112" s="1"/>
      <c r="B112" s="1"/>
      <c r="C112" s="1"/>
      <c r="D112" s="1"/>
      <c r="E112" s="347" t="s">
        <v>3</v>
      </c>
      <c r="F112" s="1"/>
      <c r="G112" s="1"/>
      <c r="H112" s="1"/>
      <c r="I112" s="1"/>
      <c r="J112" s="1"/>
      <c r="K112" s="1"/>
      <c r="L112" s="1"/>
      <c r="M112" s="1"/>
      <c r="N112" s="80"/>
      <c r="O112" s="1"/>
      <c r="P112" s="1"/>
      <c r="Q112" s="1"/>
      <c r="R112" s="1"/>
      <c r="S112" s="1"/>
      <c r="T112" s="1"/>
      <c r="U112" s="1"/>
      <c r="V112" s="1"/>
      <c r="W112" s="1"/>
      <c r="X112" s="1"/>
      <c r="Y112" s="907">
        <f>'4A-Orbit'!$K$37</f>
        <v>-3.032317630156677</v>
      </c>
      <c r="Z112" s="347" t="s">
        <v>31</v>
      </c>
      <c r="AA112" s="1"/>
    </row>
    <row r="113" spans="1:27">
      <c r="A113" s="1"/>
      <c r="B113" s="1"/>
      <c r="C113" s="1"/>
      <c r="D113" s="1"/>
      <c r="E113" s="1"/>
      <c r="F113" s="1"/>
      <c r="G113" s="1"/>
      <c r="H113" s="1"/>
      <c r="I113" s="1"/>
      <c r="J113" s="1"/>
      <c r="K113" s="1"/>
      <c r="L113" s="1"/>
      <c r="M113" s="1"/>
      <c r="N113" s="80"/>
      <c r="O113" s="1"/>
      <c r="P113" s="1"/>
      <c r="Q113" s="1"/>
      <c r="R113" s="1"/>
      <c r="S113" s="1"/>
      <c r="T113" s="1"/>
      <c r="U113" s="1"/>
      <c r="V113" s="1"/>
      <c r="W113" s="1"/>
      <c r="X113" s="1"/>
      <c r="Y113" s="1"/>
      <c r="Z113" s="1"/>
      <c r="AA113" s="1"/>
    </row>
    <row r="114" spans="1:27">
      <c r="A114" s="1"/>
      <c r="B114" s="1"/>
      <c r="C114" s="1"/>
      <c r="D114" s="1"/>
      <c r="E114" s="1"/>
      <c r="F114" s="1"/>
      <c r="G114" s="347" t="s">
        <v>3</v>
      </c>
      <c r="H114" s="1"/>
      <c r="I114" s="1"/>
      <c r="J114" s="1"/>
      <c r="K114" s="1"/>
      <c r="L114" s="1"/>
      <c r="M114" s="1"/>
      <c r="N114" s="80"/>
      <c r="O114" s="1"/>
      <c r="P114" s="1"/>
      <c r="Q114" s="1"/>
      <c r="R114" s="1"/>
      <c r="S114" s="1"/>
      <c r="T114" s="1"/>
      <c r="U114" s="1"/>
      <c r="V114" s="1"/>
      <c r="W114" s="1"/>
      <c r="X114" s="347" t="s">
        <v>3</v>
      </c>
      <c r="Y114" s="1"/>
      <c r="Z114" s="1"/>
      <c r="AA114" s="1"/>
    </row>
    <row r="115" spans="1:27" ht="17" thickBot="1">
      <c r="A115" s="1"/>
      <c r="B115" s="1"/>
      <c r="C115" s="1"/>
      <c r="D115" s="1"/>
      <c r="E115" s="1"/>
      <c r="F115" s="1"/>
      <c r="G115" s="1"/>
      <c r="H115" s="1"/>
      <c r="I115" s="1"/>
      <c r="J115" s="1"/>
      <c r="K115" s="1"/>
      <c r="L115" s="1"/>
      <c r="M115" s="1"/>
      <c r="N115" s="80"/>
      <c r="O115" s="1"/>
      <c r="P115" s="1"/>
      <c r="Q115" s="1"/>
      <c r="R115" s="1"/>
      <c r="S115" s="1"/>
      <c r="T115" s="1"/>
      <c r="U115" s="1"/>
      <c r="V115" s="1"/>
      <c r="W115" s="1"/>
      <c r="X115" s="920" t="s">
        <v>3</v>
      </c>
      <c r="Y115" s="1"/>
      <c r="Z115" s="1"/>
      <c r="AA115" s="1"/>
    </row>
    <row r="116" spans="1:27" ht="17" thickBot="1">
      <c r="A116" s="983" t="s">
        <v>750</v>
      </c>
      <c r="B116" s="984"/>
      <c r="C116" s="984"/>
      <c r="D116" s="984"/>
      <c r="E116" s="984"/>
      <c r="F116" s="984"/>
      <c r="G116" s="984"/>
      <c r="H116" s="984"/>
      <c r="I116" s="984"/>
      <c r="J116" s="984"/>
      <c r="K116" s="985" t="s">
        <v>751</v>
      </c>
      <c r="L116" s="986"/>
      <c r="M116" s="986"/>
      <c r="N116" s="986"/>
      <c r="O116" s="986"/>
      <c r="P116" s="986"/>
      <c r="Q116" s="986"/>
      <c r="R116" s="986"/>
      <c r="S116" s="986"/>
      <c r="T116" s="987"/>
      <c r="U116" s="1"/>
      <c r="V116" s="1"/>
      <c r="W116" s="1"/>
      <c r="X116" s="1"/>
      <c r="Y116" s="1"/>
      <c r="Z116" s="1"/>
      <c r="AA116" s="1"/>
    </row>
    <row r="117" spans="1:27">
      <c r="A117" s="915" t="s">
        <v>726</v>
      </c>
      <c r="B117" s="811"/>
      <c r="C117" s="811"/>
      <c r="D117" s="811"/>
      <c r="E117" s="799"/>
      <c r="F117" s="800"/>
      <c r="G117" s="800"/>
      <c r="H117" s="800"/>
      <c r="I117" s="800"/>
      <c r="J117" s="801"/>
      <c r="K117" s="913" t="s">
        <v>726</v>
      </c>
      <c r="L117" s="914"/>
      <c r="M117" s="914"/>
      <c r="N117" s="914"/>
      <c r="O117" s="827"/>
      <c r="P117" s="15"/>
      <c r="Q117" s="15"/>
      <c r="R117" s="15"/>
      <c r="S117" s="15"/>
      <c r="T117" s="828"/>
      <c r="U117" s="1"/>
      <c r="V117" s="1"/>
      <c r="W117" s="1"/>
      <c r="X117" s="1"/>
      <c r="Y117" s="1"/>
      <c r="Z117" s="1"/>
      <c r="AA117" s="1"/>
    </row>
    <row r="118" spans="1:27" ht="14" thickBot="1">
      <c r="A118" s="812"/>
      <c r="B118" s="813" t="s">
        <v>3</v>
      </c>
      <c r="C118" s="813"/>
      <c r="D118" s="813"/>
      <c r="E118" s="802" t="s">
        <v>727</v>
      </c>
      <c r="F118" s="803"/>
      <c r="G118" s="803"/>
      <c r="H118" s="832" t="s">
        <v>728</v>
      </c>
      <c r="I118" s="803"/>
      <c r="J118" s="805"/>
      <c r="K118" s="812"/>
      <c r="L118" s="813" t="s">
        <v>3</v>
      </c>
      <c r="M118" s="813"/>
      <c r="N118" s="813"/>
      <c r="O118" s="802" t="s">
        <v>727</v>
      </c>
      <c r="P118" s="803"/>
      <c r="Q118" s="803"/>
      <c r="R118" s="804" t="s">
        <v>728</v>
      </c>
      <c r="S118" s="803"/>
      <c r="T118" s="805"/>
      <c r="U118" s="1"/>
      <c r="V118" s="1"/>
      <c r="W118" s="1"/>
      <c r="X118" s="1"/>
      <c r="Y118" s="1"/>
      <c r="Z118" s="1"/>
      <c r="AA118" s="1"/>
    </row>
    <row r="119" spans="1:27">
      <c r="A119" s="833">
        <v>1E-4</v>
      </c>
      <c r="B119" s="918">
        <f>((SIN(RADIANS(A119)))^2)/A119^2</f>
        <v>3.046174197863993E-4</v>
      </c>
      <c r="C119" s="919">
        <f>B119*1000000</f>
        <v>304.6174197863993</v>
      </c>
      <c r="D119" s="919">
        <f>C119/304.6174</f>
        <v>1.0000000649549217</v>
      </c>
      <c r="E119" s="807">
        <f>10*LOG10(D119)</f>
        <v>2.8209563134777876E-7</v>
      </c>
      <c r="F119" s="431" t="s">
        <v>31</v>
      </c>
      <c r="G119" s="431"/>
      <c r="H119" s="829">
        <f>(($F$96/2)*A119)/79.76</f>
        <v>1.6983156138091114E-5</v>
      </c>
      <c r="J119" s="890" t="s">
        <v>729</v>
      </c>
      <c r="K119" s="814">
        <v>1E-4</v>
      </c>
      <c r="L119" s="916">
        <f>((SIN(RADIANS(K119)))^2)/K119^2</f>
        <v>3.046174197863993E-4</v>
      </c>
      <c r="M119" s="917">
        <f>L119*1000000</f>
        <v>304.6174197863993</v>
      </c>
      <c r="N119" s="917">
        <f>M119/304.6174</f>
        <v>1.0000000649549217</v>
      </c>
      <c r="O119" s="806">
        <v>0</v>
      </c>
      <c r="P119" s="431" t="s">
        <v>31</v>
      </c>
      <c r="Q119" s="431"/>
      <c r="R119" s="816">
        <f>(($M$96/2)*K119)/79.76</f>
        <v>1.0035710268562833E-5</v>
      </c>
      <c r="S119" s="979" t="s">
        <v>729</v>
      </c>
      <c r="T119" s="980"/>
      <c r="U119" s="1"/>
      <c r="V119" s="1"/>
      <c r="W119" s="1"/>
      <c r="X119" s="1"/>
      <c r="Y119" s="1"/>
      <c r="Z119" s="1"/>
      <c r="AA119" s="1"/>
    </row>
    <row r="120" spans="1:27">
      <c r="A120" s="833">
        <v>0.1</v>
      </c>
      <c r="B120" s="918">
        <f>((SIN(RADIANS(A120)))^2)/A120^2</f>
        <v>3.0461711048092603E-4</v>
      </c>
      <c r="C120" s="919">
        <f>B120*1000000</f>
        <v>304.61711048092604</v>
      </c>
      <c r="D120" s="919">
        <f t="shared" ref="D120:D188" si="0">C120/304.6174</f>
        <v>0.99999904956488395</v>
      </c>
      <c r="E120" s="807">
        <f>10*LOG10(D120)</f>
        <v>-4.1276892246433878E-6</v>
      </c>
      <c r="F120" s="431" t="s">
        <v>31</v>
      </c>
      <c r="G120" s="431"/>
      <c r="H120" s="829">
        <f t="shared" ref="H120:H183" si="1">(($F$96/2)*A120)/79.76</f>
        <v>1.6983156138091114E-2</v>
      </c>
      <c r="I120" s="818"/>
      <c r="J120" s="817"/>
      <c r="K120" s="814">
        <v>0.1</v>
      </c>
      <c r="L120" s="916">
        <f>((SIN(RADIANS(K120)))^2)/K120^2</f>
        <v>3.0461711048092603E-4</v>
      </c>
      <c r="M120" s="917">
        <f>L120*1000000</f>
        <v>304.61711048092604</v>
      </c>
      <c r="N120" s="917">
        <f t="shared" ref="N120:N188" si="2">M120/304.6174</f>
        <v>0.99999904956488395</v>
      </c>
      <c r="O120" s="807">
        <f>10*LOG10(N120)</f>
        <v>-4.1276892246433878E-6</v>
      </c>
      <c r="P120" s="431" t="s">
        <v>31</v>
      </c>
      <c r="Q120" s="431"/>
      <c r="R120" s="816">
        <f t="shared" ref="R120:R183" si="3">(($M$96/2)*K120)/79.76</f>
        <v>1.0035710268562833E-2</v>
      </c>
      <c r="S120" s="818"/>
      <c r="T120" s="817"/>
      <c r="U120" s="1"/>
      <c r="V120" s="1"/>
      <c r="W120" s="1"/>
      <c r="X120" s="1"/>
      <c r="Y120" s="1"/>
      <c r="Z120" s="347" t="s">
        <v>3</v>
      </c>
      <c r="AA120" s="1"/>
    </row>
    <row r="121" spans="1:27">
      <c r="A121" s="833">
        <v>3.5</v>
      </c>
      <c r="B121" s="918">
        <f>((SIN(RADIANS(A121)))^2)/A121^2</f>
        <v>3.0423870851746797E-4</v>
      </c>
      <c r="C121" s="919">
        <f>B121*1000000</f>
        <v>304.23870851746796</v>
      </c>
      <c r="D121" s="919">
        <f t="shared" si="0"/>
        <v>0.99875682911569719</v>
      </c>
      <c r="E121" s="806">
        <f>10*LOG10(D121)</f>
        <v>-5.4023812889198589E-3</v>
      </c>
      <c r="F121" s="431" t="s">
        <v>31</v>
      </c>
      <c r="G121" s="431" t="s">
        <v>3</v>
      </c>
      <c r="H121" s="829">
        <f t="shared" si="1"/>
        <v>0.59441046483318893</v>
      </c>
      <c r="I121" s="818" t="s">
        <v>3</v>
      </c>
      <c r="J121" s="817"/>
      <c r="K121" s="814">
        <v>3.5</v>
      </c>
      <c r="L121" s="916">
        <f>((SIN(RADIANS(K121)))^2)/K121^2</f>
        <v>3.0423870851746797E-4</v>
      </c>
      <c r="M121" s="917">
        <f>L121*1000000</f>
        <v>304.23870851746796</v>
      </c>
      <c r="N121" s="917">
        <f t="shared" si="2"/>
        <v>0.99875682911569719</v>
      </c>
      <c r="O121" s="806">
        <f>10*LOG10(N121)</f>
        <v>-5.4023812889198589E-3</v>
      </c>
      <c r="P121" s="431" t="s">
        <v>31</v>
      </c>
      <c r="Q121" s="431" t="s">
        <v>3</v>
      </c>
      <c r="R121" s="816">
        <f t="shared" si="3"/>
        <v>0.3512498593996991</v>
      </c>
      <c r="S121" s="818" t="s">
        <v>3</v>
      </c>
      <c r="T121" s="817"/>
      <c r="U121" s="1"/>
      <c r="V121" s="1"/>
      <c r="W121" s="1"/>
      <c r="X121" s="1"/>
      <c r="Y121" s="347" t="s">
        <v>3</v>
      </c>
      <c r="Z121" s="1"/>
      <c r="AA121" s="1"/>
    </row>
    <row r="122" spans="1:27">
      <c r="A122" s="833">
        <v>10</v>
      </c>
      <c r="B122" s="918">
        <f t="shared" ref="B122:B185" si="4">((SIN(RADIANS(A122)))^2)/A122^2</f>
        <v>3.0153689607045805E-4</v>
      </c>
      <c r="C122" s="919">
        <f t="shared" ref="C122:C190" si="5">B122*1000000</f>
        <v>301.53689607045806</v>
      </c>
      <c r="D122" s="919">
        <f t="shared" si="0"/>
        <v>0.98988730148198389</v>
      </c>
      <c r="E122" s="806">
        <f>10*LOG10(D122)</f>
        <v>-4.4142469484505009E-2</v>
      </c>
      <c r="F122" s="431" t="s">
        <v>31</v>
      </c>
      <c r="G122" s="431"/>
      <c r="H122" s="829">
        <f t="shared" si="1"/>
        <v>1.6983156138091109</v>
      </c>
      <c r="I122" s="818"/>
      <c r="J122" s="817"/>
      <c r="K122" s="814">
        <v>10</v>
      </c>
      <c r="L122" s="916">
        <f t="shared" ref="L122:L185" si="6">((SIN(RADIANS(K122)))^2)/K122^2</f>
        <v>3.0153689607045805E-4</v>
      </c>
      <c r="M122" s="917">
        <f t="shared" ref="M122:M190" si="7">L122*1000000</f>
        <v>301.53689607045806</v>
      </c>
      <c r="N122" s="917">
        <f t="shared" si="2"/>
        <v>0.98988730148198389</v>
      </c>
      <c r="O122" s="806">
        <f>10*LOG10(N122)</f>
        <v>-4.4142469484505009E-2</v>
      </c>
      <c r="P122" s="431" t="s">
        <v>31</v>
      </c>
      <c r="Q122" s="431"/>
      <c r="R122" s="816">
        <f t="shared" si="3"/>
        <v>1.0035710268562832</v>
      </c>
      <c r="S122" s="818"/>
      <c r="T122" s="817"/>
      <c r="U122" s="1"/>
      <c r="V122" s="1"/>
      <c r="W122" s="1"/>
      <c r="X122" s="1"/>
      <c r="Y122" s="1"/>
      <c r="Z122" s="1"/>
      <c r="AA122" s="1"/>
    </row>
    <row r="123" spans="1:27">
      <c r="A123" s="833">
        <v>15</v>
      </c>
      <c r="B123" s="918">
        <f t="shared" si="4"/>
        <v>2.9772132492346962E-4</v>
      </c>
      <c r="C123" s="919">
        <f t="shared" si="5"/>
        <v>297.72132492346964</v>
      </c>
      <c r="D123" s="919">
        <f t="shared" si="0"/>
        <v>0.9773615194781049</v>
      </c>
      <c r="E123" s="806">
        <f t="shared" ref="E123:E186" si="8">10*LOG10(D123)</f>
        <v>-9.9447639443358146E-2</v>
      </c>
      <c r="F123" s="431" t="s">
        <v>31</v>
      </c>
      <c r="G123" s="431" t="s">
        <v>3</v>
      </c>
      <c r="H123" s="829">
        <f t="shared" si="1"/>
        <v>2.5474734207136667</v>
      </c>
      <c r="I123" s="818"/>
      <c r="J123" s="817"/>
      <c r="K123" s="814">
        <v>15</v>
      </c>
      <c r="L123" s="916">
        <f t="shared" si="6"/>
        <v>2.9772132492346962E-4</v>
      </c>
      <c r="M123" s="917">
        <f t="shared" si="7"/>
        <v>297.72132492346964</v>
      </c>
      <c r="N123" s="917">
        <f t="shared" si="2"/>
        <v>0.9773615194781049</v>
      </c>
      <c r="O123" s="806">
        <f t="shared" ref="O123:O186" si="9">10*LOG10(N123)</f>
        <v>-9.9447639443358146E-2</v>
      </c>
      <c r="P123" s="431" t="s">
        <v>31</v>
      </c>
      <c r="Q123" s="431"/>
      <c r="R123" s="816">
        <f t="shared" si="3"/>
        <v>1.5053565402844247</v>
      </c>
      <c r="S123" s="818"/>
      <c r="T123" s="817"/>
      <c r="U123" s="1"/>
      <c r="V123" s="1"/>
      <c r="W123" s="1"/>
      <c r="X123" s="1"/>
      <c r="Y123" s="1"/>
      <c r="Z123" s="1"/>
      <c r="AA123" s="1"/>
    </row>
    <row r="124" spans="1:27">
      <c r="A124" s="833">
        <v>20</v>
      </c>
      <c r="B124" s="918">
        <f t="shared" si="4"/>
        <v>2.9244444610127744E-4</v>
      </c>
      <c r="C124" s="919">
        <f t="shared" si="5"/>
        <v>292.44444610127744</v>
      </c>
      <c r="D124" s="919">
        <f t="shared" si="0"/>
        <v>0.96003854704713998</v>
      </c>
      <c r="E124" s="806">
        <f t="shared" si="8"/>
        <v>-0.17711329008579471</v>
      </c>
      <c r="F124" s="431" t="s">
        <v>31</v>
      </c>
      <c r="G124" s="431"/>
      <c r="H124" s="829">
        <f t="shared" si="1"/>
        <v>3.3966312276182218</v>
      </c>
      <c r="I124" s="818"/>
      <c r="J124" s="817"/>
      <c r="K124" s="814">
        <v>20</v>
      </c>
      <c r="L124" s="916">
        <f t="shared" si="6"/>
        <v>2.9244444610127744E-4</v>
      </c>
      <c r="M124" s="917">
        <f t="shared" si="7"/>
        <v>292.44444610127744</v>
      </c>
      <c r="N124" s="917">
        <f t="shared" si="2"/>
        <v>0.96003854704713998</v>
      </c>
      <c r="O124" s="806">
        <f t="shared" si="9"/>
        <v>-0.17711329008579471</v>
      </c>
      <c r="P124" s="431" t="s">
        <v>31</v>
      </c>
      <c r="Q124" s="431"/>
      <c r="R124" s="816">
        <f t="shared" si="3"/>
        <v>2.0071420537125664</v>
      </c>
      <c r="S124" s="818"/>
      <c r="T124" s="817"/>
      <c r="U124" s="1"/>
      <c r="V124" s="1"/>
      <c r="W124" s="1"/>
      <c r="X124" s="1"/>
      <c r="Y124" s="1"/>
      <c r="Z124" s="1"/>
      <c r="AA124" s="1"/>
    </row>
    <row r="125" spans="1:27">
      <c r="A125" s="833">
        <v>25</v>
      </c>
      <c r="B125" s="918">
        <f t="shared" si="4"/>
        <v>2.8576991225076853E-4</v>
      </c>
      <c r="C125" s="919">
        <f t="shared" si="5"/>
        <v>285.76991225076853</v>
      </c>
      <c r="D125" s="919">
        <f t="shared" si="0"/>
        <v>0.93812734351605831</v>
      </c>
      <c r="E125" s="808">
        <f t="shared" si="8"/>
        <v>-0.27738205509447322</v>
      </c>
      <c r="F125" s="431" t="s">
        <v>31</v>
      </c>
      <c r="G125" s="431"/>
      <c r="H125" s="829">
        <f t="shared" si="1"/>
        <v>4.2457890345227778</v>
      </c>
      <c r="I125" s="818"/>
      <c r="J125" s="817"/>
      <c r="K125" s="814">
        <v>25</v>
      </c>
      <c r="L125" s="916">
        <f t="shared" si="6"/>
        <v>2.8576991225076853E-4</v>
      </c>
      <c r="M125" s="917">
        <f t="shared" si="7"/>
        <v>285.76991225076853</v>
      </c>
      <c r="N125" s="917">
        <f t="shared" si="2"/>
        <v>0.93812734351605831</v>
      </c>
      <c r="O125" s="808">
        <f t="shared" si="9"/>
        <v>-0.27738205509447322</v>
      </c>
      <c r="P125" s="431" t="s">
        <v>31</v>
      </c>
      <c r="Q125" s="431"/>
      <c r="R125" s="816">
        <f t="shared" si="3"/>
        <v>2.5089275671407081</v>
      </c>
      <c r="S125" s="818"/>
      <c r="T125" s="817"/>
      <c r="U125" s="1"/>
      <c r="V125" s="1"/>
      <c r="W125" s="1"/>
      <c r="X125" s="1"/>
      <c r="Y125" s="1"/>
      <c r="Z125" s="1"/>
      <c r="AA125" s="1"/>
    </row>
    <row r="126" spans="1:27">
      <c r="A126" s="833">
        <v>30</v>
      </c>
      <c r="B126" s="918">
        <f t="shared" si="4"/>
        <v>2.7777777777777772E-4</v>
      </c>
      <c r="C126" s="919">
        <f t="shared" si="5"/>
        <v>277.77777777777771</v>
      </c>
      <c r="D126" s="919">
        <f t="shared" si="0"/>
        <v>0.91189071201375149</v>
      </c>
      <c r="E126" s="808">
        <f t="shared" si="8"/>
        <v>-0.4005720773893886</v>
      </c>
      <c r="F126" s="431" t="s">
        <v>31</v>
      </c>
      <c r="G126" s="431"/>
      <c r="H126" s="829">
        <f t="shared" si="1"/>
        <v>5.0949468414273333</v>
      </c>
      <c r="I126" s="818"/>
      <c r="J126" s="817"/>
      <c r="K126" s="814">
        <v>30</v>
      </c>
      <c r="L126" s="916">
        <f t="shared" si="6"/>
        <v>2.7777777777777772E-4</v>
      </c>
      <c r="M126" s="917">
        <f t="shared" si="7"/>
        <v>277.77777777777771</v>
      </c>
      <c r="N126" s="917">
        <f t="shared" si="2"/>
        <v>0.91189071201375149</v>
      </c>
      <c r="O126" s="808">
        <f t="shared" si="9"/>
        <v>-0.4005720773893886</v>
      </c>
      <c r="P126" s="431" t="s">
        <v>31</v>
      </c>
      <c r="Q126" s="431"/>
      <c r="R126" s="816">
        <f t="shared" si="3"/>
        <v>3.0107130805688493</v>
      </c>
      <c r="S126" s="818"/>
      <c r="T126" s="817"/>
      <c r="U126" s="1"/>
      <c r="V126" s="1"/>
      <c r="W126" s="1"/>
      <c r="X126" s="1"/>
      <c r="Y126" s="1"/>
      <c r="Z126" s="1"/>
      <c r="AA126" s="1"/>
    </row>
    <row r="127" spans="1:27">
      <c r="A127" s="833">
        <v>40</v>
      </c>
      <c r="B127" s="918">
        <f t="shared" si="4"/>
        <v>2.5823494447908422E-4</v>
      </c>
      <c r="C127" s="919">
        <f t="shared" si="5"/>
        <v>258.23494447908422</v>
      </c>
      <c r="D127" s="919">
        <f t="shared" si="0"/>
        <v>0.84773537059630943</v>
      </c>
      <c r="E127" s="808">
        <f t="shared" si="8"/>
        <v>-0.71739696122706598</v>
      </c>
      <c r="F127" s="431" t="s">
        <v>31</v>
      </c>
      <c r="G127" s="431"/>
      <c r="H127" s="829">
        <f t="shared" si="1"/>
        <v>6.7932624552364436</v>
      </c>
      <c r="I127" s="818" t="s">
        <v>3</v>
      </c>
      <c r="J127" s="817"/>
      <c r="K127" s="814">
        <v>40</v>
      </c>
      <c r="L127" s="916">
        <f t="shared" si="6"/>
        <v>2.5823494447908422E-4</v>
      </c>
      <c r="M127" s="917">
        <f t="shared" si="7"/>
        <v>258.23494447908422</v>
      </c>
      <c r="N127" s="917">
        <f t="shared" si="2"/>
        <v>0.84773537059630943</v>
      </c>
      <c r="O127" s="808">
        <f t="shared" si="9"/>
        <v>-0.71739696122706598</v>
      </c>
      <c r="P127" s="431" t="s">
        <v>31</v>
      </c>
      <c r="Q127" s="431"/>
      <c r="R127" s="816">
        <f t="shared" si="3"/>
        <v>4.0142841074251328</v>
      </c>
      <c r="S127" s="818" t="s">
        <v>3</v>
      </c>
      <c r="T127" s="817"/>
      <c r="U127" s="1"/>
      <c r="V127" s="1"/>
      <c r="W127" s="1"/>
      <c r="X127" s="1"/>
      <c r="Y127" s="1"/>
      <c r="Z127" s="1"/>
      <c r="AA127" s="1"/>
    </row>
    <row r="128" spans="1:27">
      <c r="A128" s="833">
        <v>47</v>
      </c>
      <c r="B128" s="918">
        <f t="shared" si="4"/>
        <v>2.4213591528839411E-4</v>
      </c>
      <c r="C128" s="919">
        <f t="shared" si="5"/>
        <v>242.1359152883941</v>
      </c>
      <c r="D128" s="919">
        <f t="shared" si="0"/>
        <v>0.79488537190716657</v>
      </c>
      <c r="E128" s="875">
        <f t="shared" si="8"/>
        <v>-0.99695495164283776</v>
      </c>
      <c r="F128" s="876" t="s">
        <v>31</v>
      </c>
      <c r="G128" s="876"/>
      <c r="H128" s="877">
        <f t="shared" si="1"/>
        <v>7.9820833849028219</v>
      </c>
      <c r="I128" s="565"/>
      <c r="J128" s="878"/>
      <c r="K128" s="814">
        <v>47</v>
      </c>
      <c r="L128" s="916">
        <f t="shared" si="6"/>
        <v>2.4213591528839411E-4</v>
      </c>
      <c r="M128" s="917">
        <f t="shared" si="7"/>
        <v>242.1359152883941</v>
      </c>
      <c r="N128" s="917">
        <f t="shared" si="2"/>
        <v>0.79488537190716657</v>
      </c>
      <c r="O128" s="875">
        <f t="shared" si="9"/>
        <v>-0.99695495164283776</v>
      </c>
      <c r="P128" s="876" t="s">
        <v>31</v>
      </c>
      <c r="Q128" s="876"/>
      <c r="R128" s="880">
        <f t="shared" si="3"/>
        <v>4.716783826224531</v>
      </c>
      <c r="S128" s="565"/>
      <c r="T128" s="878"/>
      <c r="U128" s="1"/>
      <c r="V128" s="1"/>
      <c r="W128" s="1"/>
      <c r="X128" s="1"/>
      <c r="Y128" s="1"/>
      <c r="Z128" s="1"/>
      <c r="AA128" s="1"/>
    </row>
    <row r="129" spans="1:27">
      <c r="A129" s="833">
        <v>56.5</v>
      </c>
      <c r="B129" s="918">
        <f t="shared" si="4"/>
        <v>2.1782929414821425E-4</v>
      </c>
      <c r="C129" s="919">
        <f t="shared" si="5"/>
        <v>217.82929414821425</v>
      </c>
      <c r="D129" s="919">
        <f t="shared" si="0"/>
        <v>0.71509143649776497</v>
      </c>
      <c r="E129" s="808">
        <f t="shared" si="8"/>
        <v>-1.4563842277584849</v>
      </c>
      <c r="F129" s="431" t="s">
        <v>31</v>
      </c>
      <c r="G129" s="431"/>
      <c r="H129" s="829">
        <f t="shared" si="1"/>
        <v>9.595483218021478</v>
      </c>
      <c r="I129" s="818" t="s">
        <v>3</v>
      </c>
      <c r="J129" s="817"/>
      <c r="K129" s="814">
        <v>56.5</v>
      </c>
      <c r="L129" s="916">
        <f t="shared" si="6"/>
        <v>2.1782929414821425E-4</v>
      </c>
      <c r="M129" s="917">
        <f t="shared" si="7"/>
        <v>217.82929414821425</v>
      </c>
      <c r="N129" s="917">
        <f t="shared" si="2"/>
        <v>0.71509143649776497</v>
      </c>
      <c r="O129" s="879">
        <f t="shared" si="9"/>
        <v>-1.4563842277584849</v>
      </c>
      <c r="P129" s="876" t="s">
        <v>31</v>
      </c>
      <c r="Q129" s="876"/>
      <c r="R129" s="880">
        <f t="shared" si="3"/>
        <v>5.6701763017380005</v>
      </c>
      <c r="S129" s="565" t="s">
        <v>3</v>
      </c>
      <c r="T129" s="878"/>
      <c r="U129" s="1"/>
      <c r="V129" s="1"/>
      <c r="W129" s="1"/>
      <c r="X129" s="1"/>
      <c r="Y129" s="1"/>
      <c r="Z129" s="1"/>
      <c r="AA129" s="1"/>
    </row>
    <row r="130" spans="1:27">
      <c r="A130" s="833">
        <v>60</v>
      </c>
      <c r="B130" s="918">
        <f t="shared" si="4"/>
        <v>2.0833333333333329E-4</v>
      </c>
      <c r="C130" s="919">
        <f t="shared" si="5"/>
        <v>208.33333333333329</v>
      </c>
      <c r="D130" s="919">
        <f t="shared" si="0"/>
        <v>0.68391803401031359</v>
      </c>
      <c r="E130" s="808">
        <f t="shared" si="8"/>
        <v>-1.6499594434723883</v>
      </c>
      <c r="F130" s="431" t="s">
        <v>31</v>
      </c>
      <c r="G130" s="431"/>
      <c r="H130" s="829">
        <f t="shared" si="1"/>
        <v>10.189893682854667</v>
      </c>
      <c r="I130" s="818"/>
      <c r="J130" s="817"/>
      <c r="K130" s="814">
        <v>60</v>
      </c>
      <c r="L130" s="916">
        <f t="shared" si="6"/>
        <v>2.0833333333333329E-4</v>
      </c>
      <c r="M130" s="917">
        <f t="shared" si="7"/>
        <v>208.33333333333329</v>
      </c>
      <c r="N130" s="917">
        <f t="shared" si="2"/>
        <v>0.68391803401031359</v>
      </c>
      <c r="O130" s="879">
        <f t="shared" si="9"/>
        <v>-1.6499594434723883</v>
      </c>
      <c r="P130" s="876" t="s">
        <v>31</v>
      </c>
      <c r="Q130" s="876"/>
      <c r="R130" s="880">
        <f t="shared" si="3"/>
        <v>6.0214261611376987</v>
      </c>
      <c r="S130" s="565"/>
      <c r="T130" s="878"/>
      <c r="U130" s="1"/>
      <c r="V130" s="1"/>
      <c r="W130" s="1"/>
      <c r="X130" s="1"/>
      <c r="Y130" s="1"/>
      <c r="Z130" s="1"/>
      <c r="AA130" s="1"/>
    </row>
    <row r="131" spans="1:27">
      <c r="A131" s="833">
        <v>65</v>
      </c>
      <c r="B131" s="918">
        <f t="shared" si="4"/>
        <v>1.9441273487414665E-4</v>
      </c>
      <c r="C131" s="919">
        <f>B131*1000000</f>
        <v>194.41273487414665</v>
      </c>
      <c r="D131" s="919">
        <f>C131/304.6174</f>
        <v>0.63821940202413474</v>
      </c>
      <c r="E131" s="879">
        <f>10*LOG10(D131)</f>
        <v>-1.9502999728456567</v>
      </c>
      <c r="F131" s="876" t="s">
        <v>31</v>
      </c>
      <c r="G131" s="876"/>
      <c r="H131" s="877">
        <f t="shared" si="1"/>
        <v>11.039051489759222</v>
      </c>
      <c r="I131" s="565"/>
      <c r="J131" s="878"/>
      <c r="K131" s="814">
        <v>65</v>
      </c>
      <c r="L131" s="916">
        <f t="shared" si="6"/>
        <v>1.9441273487414665E-4</v>
      </c>
      <c r="M131" s="917">
        <f>L131*1000000</f>
        <v>194.41273487414665</v>
      </c>
      <c r="N131" s="917">
        <f>M131/304.6174</f>
        <v>0.63821940202413474</v>
      </c>
      <c r="O131" s="879">
        <f>10*LOG10(N131)</f>
        <v>-1.9502999728456567</v>
      </c>
      <c r="P131" s="876" t="s">
        <v>31</v>
      </c>
      <c r="Q131" s="876"/>
      <c r="R131" s="880">
        <f t="shared" si="3"/>
        <v>6.5232116745658404</v>
      </c>
      <c r="S131" s="565"/>
      <c r="T131" s="878"/>
      <c r="U131" s="1"/>
      <c r="V131" s="1"/>
      <c r="W131" s="1"/>
      <c r="X131" s="1"/>
      <c r="Y131" s="1"/>
      <c r="Z131" s="1"/>
      <c r="AA131" s="1"/>
    </row>
    <row r="132" spans="1:27">
      <c r="A132" s="833">
        <v>70</v>
      </c>
      <c r="B132" s="918">
        <f t="shared" si="4"/>
        <v>1.8020861664479364E-4</v>
      </c>
      <c r="C132" s="919">
        <f t="shared" si="5"/>
        <v>180.20861664479364</v>
      </c>
      <c r="D132" s="919">
        <f t="shared" si="0"/>
        <v>0.59159002947564276</v>
      </c>
      <c r="E132" s="808">
        <f t="shared" si="8"/>
        <v>-2.2797915411429233</v>
      </c>
      <c r="F132" s="431" t="s">
        <v>31</v>
      </c>
      <c r="G132" s="431"/>
      <c r="H132" s="829">
        <f t="shared" si="1"/>
        <v>11.888209296663778</v>
      </c>
      <c r="I132" s="818"/>
      <c r="J132" s="817"/>
      <c r="K132" s="814">
        <v>70</v>
      </c>
      <c r="L132" s="916">
        <f t="shared" si="6"/>
        <v>1.8020861664479364E-4</v>
      </c>
      <c r="M132" s="917">
        <f t="shared" si="7"/>
        <v>180.20861664479364</v>
      </c>
      <c r="N132" s="917">
        <f t="shared" si="2"/>
        <v>0.59159002947564276</v>
      </c>
      <c r="O132" s="808">
        <f t="shared" si="9"/>
        <v>-2.2797915411429233</v>
      </c>
      <c r="P132" s="431" t="s">
        <v>31</v>
      </c>
      <c r="Q132" s="431"/>
      <c r="R132" s="816">
        <f t="shared" si="3"/>
        <v>7.024997187993983</v>
      </c>
      <c r="S132" s="818"/>
      <c r="T132" s="817"/>
      <c r="U132" s="1"/>
      <c r="V132" s="1"/>
      <c r="W132" s="1"/>
      <c r="X132" s="1"/>
      <c r="Y132" s="1"/>
      <c r="Z132" s="1"/>
      <c r="AA132" s="1"/>
    </row>
    <row r="133" spans="1:27">
      <c r="A133" s="833">
        <v>73</v>
      </c>
      <c r="B133" s="918">
        <f t="shared" si="4"/>
        <v>1.7161170693892302E-4</v>
      </c>
      <c r="C133" s="919">
        <f t="shared" si="5"/>
        <v>171.61170693892302</v>
      </c>
      <c r="D133" s="919">
        <f t="shared" si="0"/>
        <v>0.56336803786954726</v>
      </c>
      <c r="E133" s="808">
        <f t="shared" si="8"/>
        <v>-2.4920779592078115</v>
      </c>
      <c r="F133" s="431" t="s">
        <v>31</v>
      </c>
      <c r="G133" s="431"/>
      <c r="H133" s="829">
        <f t="shared" si="1"/>
        <v>12.397703980806511</v>
      </c>
      <c r="I133" s="818"/>
      <c r="J133" s="817"/>
      <c r="K133" s="814">
        <v>73</v>
      </c>
      <c r="L133" s="916">
        <f t="shared" si="6"/>
        <v>1.7161170693892302E-4</v>
      </c>
      <c r="M133" s="917">
        <f t="shared" si="7"/>
        <v>171.61170693892302</v>
      </c>
      <c r="N133" s="917">
        <f t="shared" si="2"/>
        <v>0.56336803786954726</v>
      </c>
      <c r="O133" s="808">
        <f t="shared" si="9"/>
        <v>-2.4920779592078115</v>
      </c>
      <c r="P133" s="431" t="s">
        <v>31</v>
      </c>
      <c r="Q133" s="431"/>
      <c r="R133" s="816">
        <f t="shared" si="3"/>
        <v>7.3260684960508673</v>
      </c>
      <c r="S133" s="818"/>
      <c r="T133" s="817"/>
      <c r="U133" s="1"/>
      <c r="V133" s="1"/>
      <c r="W133" s="1"/>
      <c r="X133" s="1"/>
      <c r="Y133" s="1"/>
      <c r="Z133" s="1"/>
      <c r="AA133" s="1"/>
    </row>
    <row r="134" spans="1:27">
      <c r="A134" s="833">
        <v>79.760000000000005</v>
      </c>
      <c r="B134" s="918">
        <f t="shared" si="4"/>
        <v>1.5222403494475541E-4</v>
      </c>
      <c r="C134" s="919">
        <f t="shared" si="5"/>
        <v>152.2240349447554</v>
      </c>
      <c r="D134" s="919">
        <f t="shared" si="0"/>
        <v>0.49972206100096517</v>
      </c>
      <c r="E134" s="884">
        <f t="shared" si="8"/>
        <v>-3.0127147753460362</v>
      </c>
      <c r="F134" s="885" t="s">
        <v>31</v>
      </c>
      <c r="G134" s="885"/>
      <c r="H134" s="886">
        <f t="shared" si="1"/>
        <v>13.545765335741471</v>
      </c>
      <c r="I134" s="887" t="s">
        <v>730</v>
      </c>
      <c r="J134" s="888"/>
      <c r="K134" s="883">
        <v>79.760000000000005</v>
      </c>
      <c r="L134" s="916">
        <f t="shared" si="6"/>
        <v>1.5222403494475541E-4</v>
      </c>
      <c r="M134" s="917">
        <f t="shared" si="7"/>
        <v>152.2240349447554</v>
      </c>
      <c r="N134" s="917">
        <f t="shared" si="2"/>
        <v>0.49972206100096517</v>
      </c>
      <c r="O134" s="884">
        <f t="shared" si="9"/>
        <v>-3.0127147753460362</v>
      </c>
      <c r="P134" s="885" t="s">
        <v>31</v>
      </c>
      <c r="Q134" s="885"/>
      <c r="R134" s="889">
        <f t="shared" si="3"/>
        <v>8.0044825102057153</v>
      </c>
      <c r="S134" s="887" t="s">
        <v>730</v>
      </c>
      <c r="T134" s="888"/>
      <c r="U134" s="1"/>
      <c r="V134" s="1"/>
      <c r="W134" s="1"/>
      <c r="X134" s="1"/>
      <c r="Y134" s="1"/>
      <c r="Z134" s="1"/>
      <c r="AA134" s="1"/>
    </row>
    <row r="135" spans="1:27">
      <c r="A135" s="833">
        <v>80</v>
      </c>
      <c r="B135" s="918">
        <f t="shared" si="4"/>
        <v>1.5153848599889908E-4</v>
      </c>
      <c r="C135" s="919">
        <f t="shared" si="5"/>
        <v>151.53848599889909</v>
      </c>
      <c r="D135" s="919">
        <f t="shared" si="0"/>
        <v>0.49747153642207931</v>
      </c>
      <c r="E135" s="806">
        <f t="shared" si="8"/>
        <v>-3.032317630156677</v>
      </c>
      <c r="F135" s="431" t="s">
        <v>31</v>
      </c>
      <c r="G135" s="431"/>
      <c r="H135" s="829">
        <f t="shared" si="1"/>
        <v>13.586524910472887</v>
      </c>
      <c r="I135" s="818" t="s">
        <v>3</v>
      </c>
      <c r="J135" s="817"/>
      <c r="K135" s="814">
        <v>80</v>
      </c>
      <c r="L135" s="916">
        <f t="shared" si="6"/>
        <v>1.5153848599889908E-4</v>
      </c>
      <c r="M135" s="917">
        <f t="shared" si="7"/>
        <v>151.53848599889909</v>
      </c>
      <c r="N135" s="917">
        <f t="shared" si="2"/>
        <v>0.49747153642207931</v>
      </c>
      <c r="O135" s="806">
        <f t="shared" si="9"/>
        <v>-3.032317630156677</v>
      </c>
      <c r="P135" s="431" t="s">
        <v>31</v>
      </c>
      <c r="Q135" s="431"/>
      <c r="R135" s="816">
        <f t="shared" si="3"/>
        <v>8.0285682148502655</v>
      </c>
      <c r="S135" s="818" t="s">
        <v>3</v>
      </c>
      <c r="T135" s="817"/>
      <c r="U135" s="1"/>
      <c r="V135" s="1"/>
      <c r="W135" s="1"/>
      <c r="X135" s="1"/>
      <c r="Y135" s="1"/>
      <c r="Z135" s="1"/>
      <c r="AA135" s="1"/>
    </row>
    <row r="136" spans="1:27">
      <c r="A136" s="833">
        <v>90.8</v>
      </c>
      <c r="B136" s="918">
        <f t="shared" si="4"/>
        <v>1.2126727880419004E-4</v>
      </c>
      <c r="C136" s="919">
        <f t="shared" si="5"/>
        <v>121.26727880419004</v>
      </c>
      <c r="D136" s="919">
        <f t="shared" si="0"/>
        <v>0.39809701876580278</v>
      </c>
      <c r="E136" s="875">
        <f t="shared" si="8"/>
        <v>-4.000110747103232</v>
      </c>
      <c r="F136" s="876" t="s">
        <v>31</v>
      </c>
      <c r="G136" s="876"/>
      <c r="H136" s="877">
        <f t="shared" si="1"/>
        <v>15.420705773386729</v>
      </c>
      <c r="I136" s="565"/>
      <c r="J136" s="878"/>
      <c r="K136" s="814">
        <v>90.8</v>
      </c>
      <c r="L136" s="916">
        <f t="shared" si="6"/>
        <v>1.2126727880419004E-4</v>
      </c>
      <c r="M136" s="917">
        <f t="shared" si="7"/>
        <v>121.26727880419004</v>
      </c>
      <c r="N136" s="917">
        <f t="shared" si="2"/>
        <v>0.39809701876580278</v>
      </c>
      <c r="O136" s="875">
        <f t="shared" si="9"/>
        <v>-4.000110747103232</v>
      </c>
      <c r="P136" s="876" t="s">
        <v>31</v>
      </c>
      <c r="Q136" s="876"/>
      <c r="R136" s="880">
        <f t="shared" si="3"/>
        <v>9.1124249238550501</v>
      </c>
      <c r="S136" s="565"/>
      <c r="T136" s="878"/>
      <c r="U136" s="1"/>
      <c r="V136" s="1"/>
      <c r="W136" s="1"/>
      <c r="X136" s="1"/>
      <c r="Y136" s="1"/>
      <c r="Z136" s="1"/>
      <c r="AA136" s="1"/>
    </row>
    <row r="137" spans="1:27">
      <c r="A137" s="833">
        <v>100</v>
      </c>
      <c r="B137" s="918">
        <f t="shared" si="4"/>
        <v>9.6984631039295408E-5</v>
      </c>
      <c r="C137" s="919">
        <f t="shared" si="5"/>
        <v>96.984631039295408</v>
      </c>
      <c r="D137" s="919">
        <f t="shared" si="0"/>
        <v>0.31838178331013073</v>
      </c>
      <c r="E137" s="879">
        <f t="shared" si="8"/>
        <v>-4.9705178903178053</v>
      </c>
      <c r="F137" s="876" t="s">
        <v>31</v>
      </c>
      <c r="G137" s="876"/>
      <c r="H137" s="877">
        <f t="shared" si="1"/>
        <v>16.983156138091111</v>
      </c>
      <c r="I137" s="565"/>
      <c r="J137" s="878"/>
      <c r="K137" s="814">
        <v>100</v>
      </c>
      <c r="L137" s="916">
        <f t="shared" si="6"/>
        <v>9.6984631039295408E-5</v>
      </c>
      <c r="M137" s="917">
        <f t="shared" si="7"/>
        <v>96.984631039295408</v>
      </c>
      <c r="N137" s="917">
        <f t="shared" si="2"/>
        <v>0.31838178331013073</v>
      </c>
      <c r="O137" s="879">
        <f t="shared" si="9"/>
        <v>-4.9705178903178053</v>
      </c>
      <c r="P137" s="876" t="s">
        <v>31</v>
      </c>
      <c r="Q137" s="876"/>
      <c r="R137" s="880">
        <f t="shared" si="3"/>
        <v>10.035710268562832</v>
      </c>
      <c r="S137" s="565"/>
      <c r="T137" s="878"/>
      <c r="U137" s="1"/>
      <c r="V137" s="1"/>
      <c r="W137" s="1"/>
      <c r="X137" s="1"/>
      <c r="Y137" s="1"/>
      <c r="Z137" s="1"/>
      <c r="AA137" s="1"/>
    </row>
    <row r="138" spans="1:27">
      <c r="A138" s="833">
        <v>110</v>
      </c>
      <c r="B138" s="918">
        <f t="shared" si="4"/>
        <v>7.2977043104090002E-5</v>
      </c>
      <c r="C138" s="919">
        <f t="shared" si="5"/>
        <v>72.977043104090001</v>
      </c>
      <c r="D138" s="919">
        <f t="shared" si="0"/>
        <v>0.23956951606864876</v>
      </c>
      <c r="E138" s="879">
        <f t="shared" si="8"/>
        <v>-6.2056844440222871</v>
      </c>
      <c r="F138" s="876" t="s">
        <v>31</v>
      </c>
      <c r="G138" s="876"/>
      <c r="H138" s="877">
        <f t="shared" si="1"/>
        <v>18.681471751900222</v>
      </c>
      <c r="I138" s="565"/>
      <c r="J138" s="878"/>
      <c r="K138" s="814">
        <v>110</v>
      </c>
      <c r="L138" s="916">
        <f t="shared" si="6"/>
        <v>7.2977043104090002E-5</v>
      </c>
      <c r="M138" s="917">
        <f t="shared" si="7"/>
        <v>72.977043104090001</v>
      </c>
      <c r="N138" s="917">
        <f t="shared" si="2"/>
        <v>0.23956951606864876</v>
      </c>
      <c r="O138" s="879">
        <f t="shared" si="9"/>
        <v>-6.2056844440222871</v>
      </c>
      <c r="P138" s="876" t="s">
        <v>31</v>
      </c>
      <c r="Q138" s="876"/>
      <c r="R138" s="880">
        <f t="shared" si="3"/>
        <v>11.039281295419116</v>
      </c>
      <c r="S138" s="565"/>
      <c r="T138" s="878"/>
      <c r="U138" s="1"/>
      <c r="V138" s="1"/>
      <c r="W138" s="1"/>
      <c r="X138" s="1"/>
      <c r="Y138" s="1"/>
      <c r="Z138" s="1"/>
      <c r="AA138" s="1"/>
    </row>
    <row r="139" spans="1:27">
      <c r="A139" s="833">
        <v>122</v>
      </c>
      <c r="B139" s="918">
        <f t="shared" si="4"/>
        <v>4.8319374724169503E-5</v>
      </c>
      <c r="C139" s="919">
        <f t="shared" si="5"/>
        <v>48.319374724169499</v>
      </c>
      <c r="D139" s="919">
        <f t="shared" si="0"/>
        <v>0.15862316047661593</v>
      </c>
      <c r="E139" s="879">
        <f t="shared" si="8"/>
        <v>-7.9963340130062619</v>
      </c>
      <c r="F139" s="876" t="s">
        <v>31</v>
      </c>
      <c r="G139" s="876"/>
      <c r="H139" s="877">
        <f t="shared" si="1"/>
        <v>20.719450488471153</v>
      </c>
      <c r="I139" s="565"/>
      <c r="J139" s="878"/>
      <c r="K139" s="814">
        <v>122</v>
      </c>
      <c r="L139" s="916">
        <f t="shared" si="6"/>
        <v>4.8319374724169503E-5</v>
      </c>
      <c r="M139" s="917">
        <f t="shared" si="7"/>
        <v>48.319374724169499</v>
      </c>
      <c r="N139" s="917">
        <f t="shared" si="2"/>
        <v>0.15862316047661593</v>
      </c>
      <c r="O139" s="879">
        <f t="shared" si="9"/>
        <v>-7.9963340130062619</v>
      </c>
      <c r="P139" s="876" t="s">
        <v>31</v>
      </c>
      <c r="Q139" s="876"/>
      <c r="R139" s="880">
        <f t="shared" si="3"/>
        <v>12.243566527646655</v>
      </c>
      <c r="S139" s="565"/>
      <c r="T139" s="878"/>
      <c r="U139" s="1"/>
      <c r="V139" s="1"/>
      <c r="W139" s="1"/>
      <c r="X139" s="1"/>
      <c r="Y139" s="1"/>
      <c r="Z139" s="1"/>
      <c r="AA139" s="1"/>
    </row>
    <row r="140" spans="1:27">
      <c r="A140" s="833">
        <v>130</v>
      </c>
      <c r="B140" s="918">
        <f t="shared" si="4"/>
        <v>3.4723318865885511E-5</v>
      </c>
      <c r="C140" s="919">
        <f t="shared" si="5"/>
        <v>34.72331886588551</v>
      </c>
      <c r="D140" s="919">
        <f t="shared" si="0"/>
        <v>0.11398993907073435</v>
      </c>
      <c r="E140" s="879">
        <f t="shared" si="8"/>
        <v>-9.4313347847828624</v>
      </c>
      <c r="F140" s="876" t="s">
        <v>31</v>
      </c>
      <c r="G140" s="876"/>
      <c r="H140" s="877">
        <f t="shared" si="1"/>
        <v>22.078102979518444</v>
      </c>
      <c r="I140" s="565"/>
      <c r="J140" s="878"/>
      <c r="K140" s="814">
        <v>130</v>
      </c>
      <c r="L140" s="916">
        <f t="shared" si="6"/>
        <v>3.4723318865885511E-5</v>
      </c>
      <c r="M140" s="917">
        <f t="shared" si="7"/>
        <v>34.72331886588551</v>
      </c>
      <c r="N140" s="917">
        <f t="shared" si="2"/>
        <v>0.11398993907073435</v>
      </c>
      <c r="O140" s="879">
        <f t="shared" si="9"/>
        <v>-9.4313347847828624</v>
      </c>
      <c r="P140" s="876" t="s">
        <v>31</v>
      </c>
      <c r="Q140" s="876"/>
      <c r="R140" s="880">
        <f t="shared" si="3"/>
        <v>13.046423349131681</v>
      </c>
      <c r="S140" s="565"/>
      <c r="T140" s="878"/>
      <c r="U140" s="1"/>
      <c r="V140" s="1"/>
      <c r="W140" s="1"/>
      <c r="X140" s="1"/>
      <c r="Y140" s="1"/>
      <c r="Z140" s="1"/>
      <c r="AA140" s="1"/>
    </row>
    <row r="141" spans="1:27">
      <c r="A141" s="833">
        <v>132.85</v>
      </c>
      <c r="B141" s="918">
        <f t="shared" si="4"/>
        <v>3.0454169232105675E-5</v>
      </c>
      <c r="C141" s="919">
        <f>B141*1000000</f>
        <v>30.454169232105674</v>
      </c>
      <c r="D141" s="919">
        <f>C141/304.6174</f>
        <v>9.9975146633467668E-2</v>
      </c>
      <c r="E141" s="875">
        <f>10*LOG10(D141)</f>
        <v>-10.001079502146041</v>
      </c>
      <c r="F141" s="876" t="s">
        <v>31</v>
      </c>
      <c r="G141" s="876"/>
      <c r="H141" s="877">
        <f t="shared" si="1"/>
        <v>22.562122929454038</v>
      </c>
      <c r="I141" s="565"/>
      <c r="J141" s="878"/>
      <c r="K141" s="814">
        <v>132.85</v>
      </c>
      <c r="L141" s="916">
        <f t="shared" si="6"/>
        <v>3.0454169232105675E-5</v>
      </c>
      <c r="M141" s="917">
        <f>L141*1000000</f>
        <v>30.454169232105674</v>
      </c>
      <c r="N141" s="917">
        <f>M141/304.6174</f>
        <v>9.9975146633467668E-2</v>
      </c>
      <c r="O141" s="875">
        <f>10*LOG10(N141)</f>
        <v>-10.001079502146041</v>
      </c>
      <c r="P141" s="876" t="s">
        <v>31</v>
      </c>
      <c r="Q141" s="876"/>
      <c r="R141" s="880">
        <f t="shared" si="3"/>
        <v>13.33244109178572</v>
      </c>
      <c r="S141" s="565"/>
      <c r="T141" s="878"/>
      <c r="U141" s="1"/>
      <c r="V141" s="1"/>
      <c r="W141" s="1"/>
      <c r="X141" s="1"/>
      <c r="Y141" s="1"/>
      <c r="Z141" s="1"/>
      <c r="AA141" s="1"/>
    </row>
    <row r="142" spans="1:27">
      <c r="A142" s="833">
        <v>140</v>
      </c>
      <c r="B142" s="918">
        <f t="shared" si="4"/>
        <v>2.1080403630945664E-5</v>
      </c>
      <c r="C142" s="919">
        <f t="shared" si="5"/>
        <v>21.080403630945664</v>
      </c>
      <c r="D142" s="919">
        <f t="shared" si="0"/>
        <v>6.9202887395617141E-2</v>
      </c>
      <c r="E142" s="808">
        <f t="shared" si="8"/>
        <v>-11.598757848232577</v>
      </c>
      <c r="F142" s="431" t="s">
        <v>31</v>
      </c>
      <c r="G142" s="431"/>
      <c r="H142" s="829">
        <f t="shared" si="1"/>
        <v>23.776418593327556</v>
      </c>
      <c r="I142" s="818" t="s">
        <v>3</v>
      </c>
      <c r="J142" s="817"/>
      <c r="K142" s="814">
        <v>140</v>
      </c>
      <c r="L142" s="916">
        <f t="shared" si="6"/>
        <v>2.1080403630945664E-5</v>
      </c>
      <c r="M142" s="917">
        <f t="shared" si="7"/>
        <v>21.080403630945664</v>
      </c>
      <c r="N142" s="917">
        <f t="shared" si="2"/>
        <v>6.9202887395617141E-2</v>
      </c>
      <c r="O142" s="808">
        <f t="shared" si="9"/>
        <v>-11.598757848232577</v>
      </c>
      <c r="P142" s="431" t="s">
        <v>31</v>
      </c>
      <c r="Q142" s="431"/>
      <c r="R142" s="816">
        <f t="shared" si="3"/>
        <v>14.049994375987966</v>
      </c>
      <c r="S142" s="818" t="s">
        <v>3</v>
      </c>
      <c r="T142" s="817"/>
      <c r="U142" s="1"/>
      <c r="V142" s="1"/>
      <c r="W142" s="1"/>
      <c r="X142" s="1"/>
      <c r="Y142" s="1"/>
      <c r="Z142" s="1"/>
      <c r="AA142" s="1"/>
    </row>
    <row r="143" spans="1:27">
      <c r="A143" s="833">
        <v>150</v>
      </c>
      <c r="B143" s="918">
        <f t="shared" si="4"/>
        <v>1.1111111111111108E-5</v>
      </c>
      <c r="C143" s="919">
        <f t="shared" si="5"/>
        <v>11.111111111111109</v>
      </c>
      <c r="D143" s="919">
        <f t="shared" si="0"/>
        <v>3.6475628480550061E-2</v>
      </c>
      <c r="E143" s="808">
        <f t="shared" si="8"/>
        <v>-14.379972164109764</v>
      </c>
      <c r="F143" s="431" t="s">
        <v>31</v>
      </c>
      <c r="G143" s="431"/>
      <c r="H143" s="829">
        <f t="shared" si="1"/>
        <v>25.474734207136667</v>
      </c>
      <c r="I143" s="818"/>
      <c r="J143" s="817"/>
      <c r="K143" s="814">
        <v>150</v>
      </c>
      <c r="L143" s="916">
        <f t="shared" si="6"/>
        <v>1.1111111111111108E-5</v>
      </c>
      <c r="M143" s="917">
        <f t="shared" si="7"/>
        <v>11.111111111111109</v>
      </c>
      <c r="N143" s="917">
        <f t="shared" si="2"/>
        <v>3.6475628480550061E-2</v>
      </c>
      <c r="O143" s="808">
        <f t="shared" si="9"/>
        <v>-14.379972164109764</v>
      </c>
      <c r="P143" s="431" t="s">
        <v>31</v>
      </c>
      <c r="Q143" s="431"/>
      <c r="R143" s="816">
        <f t="shared" si="3"/>
        <v>15.053565402844248</v>
      </c>
      <c r="S143" s="818"/>
      <c r="T143" s="817"/>
      <c r="U143" s="1"/>
      <c r="V143" s="1"/>
      <c r="W143" s="1"/>
      <c r="X143" s="1"/>
      <c r="Y143" s="1"/>
      <c r="Z143" s="1"/>
      <c r="AA143" s="1"/>
    </row>
    <row r="144" spans="1:27">
      <c r="A144" s="833">
        <v>160</v>
      </c>
      <c r="B144" s="918">
        <f t="shared" si="4"/>
        <v>4.5694444703324642E-6</v>
      </c>
      <c r="C144" s="919">
        <f t="shared" si="5"/>
        <v>4.5694444703324644</v>
      </c>
      <c r="D144" s="919">
        <f t="shared" si="0"/>
        <v>1.5000602297611576E-2</v>
      </c>
      <c r="E144" s="808">
        <f t="shared" si="8"/>
        <v>-18.23891302992466</v>
      </c>
      <c r="F144" s="431" t="s">
        <v>31</v>
      </c>
      <c r="G144" s="431"/>
      <c r="H144" s="829">
        <f t="shared" si="1"/>
        <v>27.173049820945774</v>
      </c>
      <c r="I144" s="818"/>
      <c r="J144" s="817"/>
      <c r="K144" s="814">
        <v>160</v>
      </c>
      <c r="L144" s="916">
        <f t="shared" si="6"/>
        <v>4.5694444703324642E-6</v>
      </c>
      <c r="M144" s="917">
        <f t="shared" si="7"/>
        <v>4.5694444703324644</v>
      </c>
      <c r="N144" s="917">
        <f t="shared" si="2"/>
        <v>1.5000602297611576E-2</v>
      </c>
      <c r="O144" s="808">
        <f t="shared" si="9"/>
        <v>-18.23891302992466</v>
      </c>
      <c r="P144" s="431" t="s">
        <v>31</v>
      </c>
      <c r="Q144" s="431"/>
      <c r="R144" s="816">
        <f t="shared" si="3"/>
        <v>16.057136429700531</v>
      </c>
      <c r="S144" s="818"/>
      <c r="T144" s="817"/>
      <c r="U144" s="1"/>
      <c r="V144" s="1"/>
      <c r="W144" s="1"/>
      <c r="X144" s="1"/>
      <c r="Y144" s="1"/>
      <c r="Z144" s="1"/>
      <c r="AA144" s="1"/>
    </row>
    <row r="145" spans="1:27">
      <c r="A145" s="833">
        <v>172.5</v>
      </c>
      <c r="B145" s="918">
        <f t="shared" si="4"/>
        <v>5.7255490377536986E-7</v>
      </c>
      <c r="C145" s="919">
        <f t="shared" si="5"/>
        <v>0.57255490377536988</v>
      </c>
      <c r="D145" s="919">
        <f t="shared" si="0"/>
        <v>1.8795869959344737E-3</v>
      </c>
      <c r="E145" s="808">
        <f t="shared" si="8"/>
        <v>-27.259375683380821</v>
      </c>
      <c r="F145" s="431" t="s">
        <v>31</v>
      </c>
      <c r="G145" s="431"/>
      <c r="H145" s="829">
        <f t="shared" si="1"/>
        <v>29.295944338207168</v>
      </c>
      <c r="I145" s="818"/>
      <c r="J145" s="817"/>
      <c r="K145" s="814">
        <v>172.5</v>
      </c>
      <c r="L145" s="916">
        <f t="shared" si="6"/>
        <v>5.7255490377536986E-7</v>
      </c>
      <c r="M145" s="917">
        <f t="shared" si="7"/>
        <v>0.57255490377536988</v>
      </c>
      <c r="N145" s="917">
        <f t="shared" si="2"/>
        <v>1.8795869959344737E-3</v>
      </c>
      <c r="O145" s="808">
        <f t="shared" si="9"/>
        <v>-27.259375683380821</v>
      </c>
      <c r="P145" s="431" t="s">
        <v>31</v>
      </c>
      <c r="Q145" s="431"/>
      <c r="R145" s="816">
        <f t="shared" si="3"/>
        <v>17.311600213270886</v>
      </c>
      <c r="S145" s="818"/>
      <c r="T145" s="817"/>
      <c r="U145" s="1"/>
      <c r="V145" s="1"/>
      <c r="W145" s="1"/>
      <c r="X145" s="1"/>
      <c r="Y145" s="1"/>
      <c r="Z145" s="1"/>
      <c r="AA145" s="1"/>
    </row>
    <row r="146" spans="1:27">
      <c r="A146" s="833">
        <v>180</v>
      </c>
      <c r="B146" s="918">
        <f t="shared" si="4"/>
        <v>4.6326812856943794E-37</v>
      </c>
      <c r="C146" s="919">
        <f t="shared" si="5"/>
        <v>4.6326812856943792E-31</v>
      </c>
      <c r="D146" s="919">
        <f t="shared" si="0"/>
        <v>1.5208196530120668E-33</v>
      </c>
      <c r="E146" s="809">
        <f t="shared" si="8"/>
        <v>-328.17922283873054</v>
      </c>
      <c r="F146" s="431" t="s">
        <v>31</v>
      </c>
      <c r="G146" s="431"/>
      <c r="H146" s="829">
        <f t="shared" si="1"/>
        <v>30.569681048564</v>
      </c>
      <c r="I146" s="892" t="s">
        <v>731</v>
      </c>
      <c r="J146" s="893"/>
      <c r="K146" s="814">
        <v>180</v>
      </c>
      <c r="L146" s="916">
        <f t="shared" si="6"/>
        <v>4.6326812856943794E-37</v>
      </c>
      <c r="M146" s="917">
        <f t="shared" si="7"/>
        <v>4.6326812856943792E-31</v>
      </c>
      <c r="N146" s="917">
        <f t="shared" si="2"/>
        <v>1.5208196530120668E-33</v>
      </c>
      <c r="O146" s="809">
        <f t="shared" si="9"/>
        <v>-328.17922283873054</v>
      </c>
      <c r="P146" s="431" t="s">
        <v>31</v>
      </c>
      <c r="Q146" s="431"/>
      <c r="R146" s="816">
        <f t="shared" si="3"/>
        <v>18.064278483413098</v>
      </c>
      <c r="S146" s="892" t="s">
        <v>731</v>
      </c>
      <c r="T146" s="893"/>
      <c r="U146" s="1"/>
      <c r="V146" s="1"/>
      <c r="W146" s="1"/>
      <c r="X146" s="1"/>
      <c r="Y146" s="1"/>
      <c r="Z146" s="1"/>
      <c r="AA146" s="1"/>
    </row>
    <row r="147" spans="1:27">
      <c r="A147" s="833">
        <v>190</v>
      </c>
      <c r="B147" s="918">
        <f t="shared" si="4"/>
        <v>8.3528226058298746E-7</v>
      </c>
      <c r="C147" s="919">
        <f t="shared" si="5"/>
        <v>0.83528226058298749</v>
      </c>
      <c r="D147" s="919">
        <f t="shared" si="0"/>
        <v>2.7420700872077155E-3</v>
      </c>
      <c r="E147" s="808">
        <f t="shared" si="8"/>
        <v>-25.619214488541079</v>
      </c>
      <c r="F147" s="431" t="s">
        <v>31</v>
      </c>
      <c r="G147" s="431"/>
      <c r="H147" s="829">
        <f t="shared" si="1"/>
        <v>32.267996662373115</v>
      </c>
      <c r="I147" s="818"/>
      <c r="J147" s="817"/>
      <c r="K147" s="814">
        <v>190</v>
      </c>
      <c r="L147" s="916">
        <f t="shared" si="6"/>
        <v>8.3528226058298746E-7</v>
      </c>
      <c r="M147" s="917">
        <f t="shared" si="7"/>
        <v>0.83528226058298749</v>
      </c>
      <c r="N147" s="917">
        <f t="shared" si="2"/>
        <v>2.7420700872077155E-3</v>
      </c>
      <c r="O147" s="808">
        <f t="shared" si="9"/>
        <v>-25.619214488541079</v>
      </c>
      <c r="P147" s="431" t="s">
        <v>31</v>
      </c>
      <c r="Q147" s="431"/>
      <c r="R147" s="816">
        <f t="shared" si="3"/>
        <v>19.067849510269383</v>
      </c>
      <c r="S147" s="818"/>
      <c r="T147" s="817"/>
      <c r="U147" s="1"/>
      <c r="V147" s="1"/>
      <c r="W147" s="1"/>
      <c r="X147" s="1"/>
      <c r="Y147" s="1"/>
      <c r="Z147" s="1"/>
      <c r="AA147" s="1"/>
    </row>
    <row r="148" spans="1:27">
      <c r="A148" s="833">
        <v>200</v>
      </c>
      <c r="B148" s="918">
        <f t="shared" si="4"/>
        <v>2.924444461012773E-6</v>
      </c>
      <c r="C148" s="919">
        <f t="shared" si="5"/>
        <v>2.9244444610127731</v>
      </c>
      <c r="D148" s="919">
        <f t="shared" si="0"/>
        <v>9.6003854704713957E-3</v>
      </c>
      <c r="E148" s="808">
        <f t="shared" si="8"/>
        <v>-20.177113290085799</v>
      </c>
      <c r="F148" s="431" t="s">
        <v>31</v>
      </c>
      <c r="G148" s="431"/>
      <c r="H148" s="829">
        <f t="shared" si="1"/>
        <v>33.966312276182222</v>
      </c>
      <c r="I148" s="818"/>
      <c r="J148" s="817"/>
      <c r="K148" s="814">
        <v>200</v>
      </c>
      <c r="L148" s="916">
        <f t="shared" si="6"/>
        <v>2.924444461012773E-6</v>
      </c>
      <c r="M148" s="917">
        <f t="shared" si="7"/>
        <v>2.9244444610127731</v>
      </c>
      <c r="N148" s="917">
        <f t="shared" si="2"/>
        <v>9.6003854704713957E-3</v>
      </c>
      <c r="O148" s="808">
        <f t="shared" si="9"/>
        <v>-20.177113290085799</v>
      </c>
      <c r="P148" s="431" t="s">
        <v>31</v>
      </c>
      <c r="Q148" s="431"/>
      <c r="R148" s="816">
        <f t="shared" si="3"/>
        <v>20.071420537125665</v>
      </c>
      <c r="S148" s="818"/>
      <c r="T148" s="817"/>
      <c r="U148" s="1"/>
      <c r="V148" s="1"/>
      <c r="W148" s="1"/>
      <c r="X148" s="1"/>
      <c r="Y148" s="1"/>
      <c r="Z148" s="1"/>
      <c r="AA148" s="1"/>
    </row>
    <row r="149" spans="1:27">
      <c r="A149" s="833">
        <v>210</v>
      </c>
      <c r="B149" s="918">
        <f t="shared" si="4"/>
        <v>5.6689342403628144E-6</v>
      </c>
      <c r="C149" s="919">
        <f t="shared" si="5"/>
        <v>5.6689342403628142</v>
      </c>
      <c r="D149" s="919">
        <f t="shared" si="0"/>
        <v>1.86100145308929E-2</v>
      </c>
      <c r="E149" s="808">
        <f t="shared" si="8"/>
        <v>-17.302532877674523</v>
      </c>
      <c r="F149" s="431" t="s">
        <v>31</v>
      </c>
      <c r="G149" s="431"/>
      <c r="H149" s="829">
        <f t="shared" si="1"/>
        <v>35.664627889991337</v>
      </c>
      <c r="I149" s="818"/>
      <c r="J149" s="817"/>
      <c r="K149" s="814">
        <v>210</v>
      </c>
      <c r="L149" s="916">
        <f t="shared" si="6"/>
        <v>5.6689342403628144E-6</v>
      </c>
      <c r="M149" s="917">
        <f t="shared" si="7"/>
        <v>5.6689342403628142</v>
      </c>
      <c r="N149" s="917">
        <f t="shared" si="2"/>
        <v>1.86100145308929E-2</v>
      </c>
      <c r="O149" s="808">
        <f t="shared" si="9"/>
        <v>-17.302532877674523</v>
      </c>
      <c r="P149" s="431" t="s">
        <v>31</v>
      </c>
      <c r="Q149" s="431"/>
      <c r="R149" s="816">
        <f t="shared" si="3"/>
        <v>21.074991563981946</v>
      </c>
      <c r="S149" s="818"/>
      <c r="T149" s="817"/>
      <c r="U149" s="1"/>
      <c r="V149" s="1"/>
      <c r="W149" s="1"/>
      <c r="X149" s="1"/>
      <c r="Y149" s="1"/>
      <c r="Z149" s="1"/>
      <c r="AA149" s="1"/>
    </row>
    <row r="150" spans="1:27">
      <c r="A150" s="833">
        <v>220</v>
      </c>
      <c r="B150" s="918">
        <f t="shared" si="4"/>
        <v>8.5366923794738577E-6</v>
      </c>
      <c r="C150" s="919">
        <f t="shared" si="5"/>
        <v>8.5366923794738572</v>
      </c>
      <c r="D150" s="919">
        <f t="shared" si="0"/>
        <v>2.8024309771778822E-2</v>
      </c>
      <c r="E150" s="808">
        <f t="shared" si="8"/>
        <v>-15.524650751111944</v>
      </c>
      <c r="F150" s="431" t="s">
        <v>31</v>
      </c>
      <c r="G150" s="431"/>
      <c r="H150" s="829">
        <f t="shared" si="1"/>
        <v>37.362943503800444</v>
      </c>
      <c r="I150" s="818"/>
      <c r="J150" s="817"/>
      <c r="K150" s="814">
        <v>220</v>
      </c>
      <c r="L150" s="916">
        <f t="shared" si="6"/>
        <v>8.5366923794738577E-6</v>
      </c>
      <c r="M150" s="917">
        <f t="shared" si="7"/>
        <v>8.5366923794738572</v>
      </c>
      <c r="N150" s="917">
        <f t="shared" si="2"/>
        <v>2.8024309771778822E-2</v>
      </c>
      <c r="O150" s="808">
        <f t="shared" si="9"/>
        <v>-15.524650751111944</v>
      </c>
      <c r="P150" s="431" t="s">
        <v>31</v>
      </c>
      <c r="Q150" s="431"/>
      <c r="R150" s="816">
        <f t="shared" si="3"/>
        <v>22.078562590838231</v>
      </c>
      <c r="S150" s="818"/>
      <c r="T150" s="817"/>
      <c r="U150" s="1"/>
      <c r="V150" s="1"/>
      <c r="W150" s="1"/>
      <c r="X150" s="1"/>
      <c r="Y150" s="1"/>
      <c r="Z150" s="1"/>
      <c r="AA150" s="1"/>
    </row>
    <row r="151" spans="1:27">
      <c r="A151" s="833">
        <v>230</v>
      </c>
      <c r="B151" s="918">
        <f t="shared" si="4"/>
        <v>1.1093082964715783E-5</v>
      </c>
      <c r="C151" s="919">
        <f t="shared" si="5"/>
        <v>11.093082964715784</v>
      </c>
      <c r="D151" s="919">
        <f t="shared" si="0"/>
        <v>3.6416445563240266E-2</v>
      </c>
      <c r="E151" s="808">
        <f t="shared" si="8"/>
        <v>-14.387024458997985</v>
      </c>
      <c r="F151" s="431" t="s">
        <v>31</v>
      </c>
      <c r="G151" s="431"/>
      <c r="H151" s="829">
        <f t="shared" si="1"/>
        <v>39.061259117609552</v>
      </c>
      <c r="I151" s="818"/>
      <c r="J151" s="817"/>
      <c r="K151" s="814">
        <v>230</v>
      </c>
      <c r="L151" s="916">
        <f t="shared" si="6"/>
        <v>1.1093082964715783E-5</v>
      </c>
      <c r="M151" s="917">
        <f t="shared" si="7"/>
        <v>11.093082964715784</v>
      </c>
      <c r="N151" s="917">
        <f t="shared" si="2"/>
        <v>3.6416445563240266E-2</v>
      </c>
      <c r="O151" s="808">
        <f t="shared" si="9"/>
        <v>-14.387024458997985</v>
      </c>
      <c r="P151" s="431" t="s">
        <v>31</v>
      </c>
      <c r="Q151" s="431"/>
      <c r="R151" s="816">
        <f t="shared" si="3"/>
        <v>23.082133617694513</v>
      </c>
      <c r="S151" s="818"/>
      <c r="T151" s="817"/>
      <c r="U151" s="1"/>
      <c r="V151" s="1"/>
      <c r="W151" s="1"/>
      <c r="X151" s="1"/>
      <c r="Y151" s="1"/>
      <c r="Z151" s="1"/>
      <c r="AA151" s="1"/>
    </row>
    <row r="152" spans="1:27">
      <c r="A152" s="833">
        <v>240</v>
      </c>
      <c r="B152" s="918">
        <f t="shared" si="4"/>
        <v>1.3020833333333326E-5</v>
      </c>
      <c r="C152" s="919">
        <f t="shared" si="5"/>
        <v>13.020833333333325</v>
      </c>
      <c r="D152" s="919">
        <f t="shared" si="0"/>
        <v>4.2744877125644586E-2</v>
      </c>
      <c r="E152" s="808">
        <f t="shared" si="8"/>
        <v>-13.691159270031637</v>
      </c>
      <c r="F152" s="431" t="s">
        <v>31</v>
      </c>
      <c r="G152" s="431"/>
      <c r="H152" s="829">
        <f t="shared" si="1"/>
        <v>40.759574731418667</v>
      </c>
      <c r="I152" s="818"/>
      <c r="J152" s="817"/>
      <c r="K152" s="814">
        <v>240</v>
      </c>
      <c r="L152" s="916">
        <f t="shared" si="6"/>
        <v>1.3020833333333326E-5</v>
      </c>
      <c r="M152" s="917">
        <f t="shared" si="7"/>
        <v>13.020833333333325</v>
      </c>
      <c r="N152" s="917">
        <f t="shared" si="2"/>
        <v>4.2744877125644586E-2</v>
      </c>
      <c r="O152" s="808">
        <f t="shared" si="9"/>
        <v>-13.691159270031637</v>
      </c>
      <c r="P152" s="431" t="s">
        <v>31</v>
      </c>
      <c r="Q152" s="431"/>
      <c r="R152" s="816">
        <f t="shared" si="3"/>
        <v>24.085704644550795</v>
      </c>
      <c r="S152" s="818"/>
      <c r="T152" s="817"/>
      <c r="U152" s="1"/>
      <c r="V152" s="1"/>
      <c r="W152" s="1"/>
      <c r="X152" s="1"/>
      <c r="Y152" s="1"/>
      <c r="Z152" s="1"/>
      <c r="AA152" s="1"/>
    </row>
    <row r="153" spans="1:27">
      <c r="A153" s="833">
        <v>250</v>
      </c>
      <c r="B153" s="918">
        <f t="shared" si="4"/>
        <v>1.4128355544951825E-5</v>
      </c>
      <c r="C153" s="919">
        <f t="shared" si="5"/>
        <v>14.128355544951825</v>
      </c>
      <c r="D153" s="919">
        <f t="shared" si="0"/>
        <v>4.6380658310890402E-2</v>
      </c>
      <c r="E153" s="891">
        <f t="shared" si="8"/>
        <v>-13.336630914298537</v>
      </c>
      <c r="F153" s="431" t="s">
        <v>31</v>
      </c>
      <c r="G153" s="431"/>
      <c r="H153" s="829">
        <f t="shared" si="1"/>
        <v>42.457890345227774</v>
      </c>
      <c r="I153" s="881" t="s">
        <v>732</v>
      </c>
      <c r="J153" s="882"/>
      <c r="K153" s="814">
        <v>250</v>
      </c>
      <c r="L153" s="916">
        <f t="shared" si="6"/>
        <v>1.4128355544951825E-5</v>
      </c>
      <c r="M153" s="917">
        <f t="shared" si="7"/>
        <v>14.128355544951825</v>
      </c>
      <c r="N153" s="917">
        <f t="shared" si="2"/>
        <v>4.6380658310890402E-2</v>
      </c>
      <c r="O153" s="891">
        <f t="shared" si="9"/>
        <v>-13.336630914298537</v>
      </c>
      <c r="P153" s="431" t="s">
        <v>31</v>
      </c>
      <c r="Q153" s="431"/>
      <c r="R153" s="816">
        <f t="shared" si="3"/>
        <v>25.08927567140708</v>
      </c>
      <c r="S153" s="881" t="s">
        <v>732</v>
      </c>
      <c r="T153" s="882"/>
      <c r="U153" s="1"/>
      <c r="V153" s="1"/>
      <c r="W153" s="1"/>
      <c r="X153" s="1"/>
      <c r="Y153" s="1"/>
      <c r="Z153" s="1"/>
      <c r="AA153" s="1"/>
    </row>
    <row r="154" spans="1:27">
      <c r="A154" s="833">
        <v>260</v>
      </c>
      <c r="B154" s="918">
        <f t="shared" si="4"/>
        <v>1.4346838911138375E-5</v>
      </c>
      <c r="C154" s="919">
        <f t="shared" si="5"/>
        <v>14.346838911138374</v>
      </c>
      <c r="D154" s="919">
        <f t="shared" si="0"/>
        <v>4.7097896939368451E-2</v>
      </c>
      <c r="E154" s="808">
        <f t="shared" si="8"/>
        <v>-13.269984849734165</v>
      </c>
      <c r="F154" s="431" t="s">
        <v>31</v>
      </c>
      <c r="G154" s="431"/>
      <c r="H154" s="829">
        <f t="shared" si="1"/>
        <v>44.156205959036889</v>
      </c>
      <c r="I154" s="818"/>
      <c r="J154" s="817"/>
      <c r="K154" s="814">
        <v>260</v>
      </c>
      <c r="L154" s="916">
        <f t="shared" si="6"/>
        <v>1.4346838911138375E-5</v>
      </c>
      <c r="M154" s="917">
        <f t="shared" si="7"/>
        <v>14.346838911138374</v>
      </c>
      <c r="N154" s="917">
        <f t="shared" si="2"/>
        <v>4.7097896939368451E-2</v>
      </c>
      <c r="O154" s="808">
        <f t="shared" si="9"/>
        <v>-13.269984849734165</v>
      </c>
      <c r="P154" s="431" t="s">
        <v>31</v>
      </c>
      <c r="Q154" s="431"/>
      <c r="R154" s="816">
        <f t="shared" si="3"/>
        <v>26.092846698263362</v>
      </c>
      <c r="S154" s="818"/>
      <c r="T154" s="817"/>
      <c r="U154" s="1"/>
      <c r="V154" s="1"/>
      <c r="W154" s="1"/>
      <c r="X154" s="1"/>
      <c r="Y154" s="1"/>
      <c r="Z154" s="1"/>
      <c r="AA154" s="1"/>
    </row>
    <row r="155" spans="1:27">
      <c r="A155" s="833">
        <v>270</v>
      </c>
      <c r="B155" s="918">
        <f t="shared" si="4"/>
        <v>1.3717421124828532E-5</v>
      </c>
      <c r="C155" s="919">
        <f t="shared" si="5"/>
        <v>13.717421124828531</v>
      </c>
      <c r="D155" s="919">
        <f t="shared" si="0"/>
        <v>4.5031640099444527E-2</v>
      </c>
      <c r="E155" s="808">
        <f t="shared" si="8"/>
        <v>-13.464822352896261</v>
      </c>
      <c r="F155" s="431" t="s">
        <v>31</v>
      </c>
      <c r="G155" s="431"/>
      <c r="H155" s="829">
        <f t="shared" si="1"/>
        <v>45.854521572846004</v>
      </c>
      <c r="I155" s="818"/>
      <c r="J155" s="817"/>
      <c r="K155" s="814">
        <v>270</v>
      </c>
      <c r="L155" s="916">
        <f t="shared" si="6"/>
        <v>1.3717421124828532E-5</v>
      </c>
      <c r="M155" s="917">
        <f t="shared" si="7"/>
        <v>13.717421124828531</v>
      </c>
      <c r="N155" s="917">
        <f t="shared" si="2"/>
        <v>4.5031640099444527E-2</v>
      </c>
      <c r="O155" s="808">
        <f t="shared" si="9"/>
        <v>-13.464822352896261</v>
      </c>
      <c r="P155" s="431" t="s">
        <v>31</v>
      </c>
      <c r="Q155" s="431"/>
      <c r="R155" s="816">
        <f t="shared" si="3"/>
        <v>27.096417725119647</v>
      </c>
      <c r="S155" s="818"/>
      <c r="T155" s="817"/>
      <c r="U155" s="1"/>
      <c r="V155" s="1"/>
      <c r="W155" s="1"/>
      <c r="X155" s="1"/>
      <c r="Y155" s="1"/>
      <c r="Z155" s="1"/>
      <c r="AA155" s="1"/>
    </row>
    <row r="156" spans="1:27">
      <c r="A156" s="833">
        <v>280</v>
      </c>
      <c r="B156" s="918">
        <f t="shared" si="4"/>
        <v>1.2370488652971357E-5</v>
      </c>
      <c r="C156" s="919">
        <f t="shared" si="5"/>
        <v>12.370488652971357</v>
      </c>
      <c r="D156" s="919">
        <f t="shared" si="0"/>
        <v>4.0609921340577913E-2</v>
      </c>
      <c r="E156" s="808">
        <f t="shared" si="8"/>
        <v>-13.91367851716219</v>
      </c>
      <c r="F156" s="431" t="s">
        <v>31</v>
      </c>
      <c r="G156" s="431"/>
      <c r="H156" s="829">
        <f t="shared" si="1"/>
        <v>47.552837186655111</v>
      </c>
      <c r="I156" s="818"/>
      <c r="J156" s="817"/>
      <c r="K156" s="814">
        <v>280</v>
      </c>
      <c r="L156" s="916">
        <f t="shared" si="6"/>
        <v>1.2370488652971357E-5</v>
      </c>
      <c r="M156" s="917">
        <f t="shared" si="7"/>
        <v>12.370488652971357</v>
      </c>
      <c r="N156" s="917">
        <f t="shared" si="2"/>
        <v>4.0609921340577913E-2</v>
      </c>
      <c r="O156" s="808">
        <f t="shared" si="9"/>
        <v>-13.91367851716219</v>
      </c>
      <c r="P156" s="431" t="s">
        <v>31</v>
      </c>
      <c r="Q156" s="431"/>
      <c r="R156" s="816">
        <f t="shared" si="3"/>
        <v>28.099988751975932</v>
      </c>
      <c r="S156" s="818"/>
      <c r="T156" s="817"/>
      <c r="U156" s="1"/>
      <c r="V156" s="1"/>
      <c r="W156" s="1"/>
      <c r="X156" s="1"/>
      <c r="Y156" s="1"/>
      <c r="Z156" s="1"/>
      <c r="AA156" s="1"/>
    </row>
    <row r="157" spans="1:27">
      <c r="A157" s="833">
        <v>290</v>
      </c>
      <c r="B157" s="918">
        <f t="shared" si="4"/>
        <v>1.0499669697496894E-5</v>
      </c>
      <c r="C157" s="919">
        <f t="shared" si="5"/>
        <v>10.499669697496895</v>
      </c>
      <c r="D157" s="919">
        <f t="shared" si="0"/>
        <v>3.4468384594894763E-2</v>
      </c>
      <c r="E157" s="808">
        <f t="shared" si="8"/>
        <v>-14.625790698836909</v>
      </c>
      <c r="F157" s="431" t="s">
        <v>31</v>
      </c>
      <c r="G157" s="431"/>
      <c r="H157" s="829">
        <f t="shared" si="1"/>
        <v>49.251152800464226</v>
      </c>
      <c r="I157" s="818"/>
      <c r="J157" s="817"/>
      <c r="K157" s="814">
        <v>290</v>
      </c>
      <c r="L157" s="916">
        <f t="shared" si="6"/>
        <v>1.0499669697496894E-5</v>
      </c>
      <c r="M157" s="917">
        <f t="shared" si="7"/>
        <v>10.499669697496895</v>
      </c>
      <c r="N157" s="917">
        <f t="shared" si="2"/>
        <v>3.4468384594894763E-2</v>
      </c>
      <c r="O157" s="808">
        <f t="shared" si="9"/>
        <v>-14.625790698836909</v>
      </c>
      <c r="P157" s="431" t="s">
        <v>31</v>
      </c>
      <c r="Q157" s="431"/>
      <c r="R157" s="816">
        <f t="shared" si="3"/>
        <v>29.103559778832214</v>
      </c>
      <c r="S157" s="818"/>
      <c r="T157" s="817"/>
      <c r="U157" s="1"/>
      <c r="V157" s="1"/>
      <c r="W157" s="1"/>
      <c r="X157" s="1"/>
      <c r="Y157" s="1"/>
      <c r="Z157" s="1"/>
      <c r="AA157" s="1"/>
    </row>
    <row r="158" spans="1:27">
      <c r="A158" s="833">
        <v>300</v>
      </c>
      <c r="B158" s="918">
        <f t="shared" si="4"/>
        <v>8.333333333333332E-6</v>
      </c>
      <c r="C158" s="919">
        <f t="shared" si="5"/>
        <v>8.3333333333333321</v>
      </c>
      <c r="D158" s="919">
        <f t="shared" si="0"/>
        <v>2.7356721360412548E-2</v>
      </c>
      <c r="E158" s="808">
        <f t="shared" si="8"/>
        <v>-15.629359530192763</v>
      </c>
      <c r="F158" s="431" t="s">
        <v>31</v>
      </c>
      <c r="G158" s="431"/>
      <c r="H158" s="829">
        <f t="shared" si="1"/>
        <v>50.949468414273333</v>
      </c>
      <c r="I158" s="818"/>
      <c r="J158" s="817"/>
      <c r="K158" s="814">
        <v>300</v>
      </c>
      <c r="L158" s="916">
        <f t="shared" si="6"/>
        <v>8.333333333333332E-6</v>
      </c>
      <c r="M158" s="917">
        <f t="shared" si="7"/>
        <v>8.3333333333333321</v>
      </c>
      <c r="N158" s="917">
        <f t="shared" si="2"/>
        <v>2.7356721360412548E-2</v>
      </c>
      <c r="O158" s="808">
        <f t="shared" si="9"/>
        <v>-15.629359530192763</v>
      </c>
      <c r="P158" s="431" t="s">
        <v>31</v>
      </c>
      <c r="Q158" s="431"/>
      <c r="R158" s="816">
        <f t="shared" si="3"/>
        <v>30.107130805688495</v>
      </c>
      <c r="S158" s="818"/>
      <c r="T158" s="817"/>
      <c r="U158" s="1"/>
      <c r="V158" s="1"/>
      <c r="W158" s="1"/>
      <c r="X158" s="1"/>
      <c r="Y158" s="1"/>
      <c r="Z158" s="1"/>
      <c r="AA158" s="1"/>
    </row>
    <row r="159" spans="1:27">
      <c r="A159" s="833">
        <v>310</v>
      </c>
      <c r="B159" s="918">
        <f t="shared" si="4"/>
        <v>6.1063901023253407E-6</v>
      </c>
      <c r="C159" s="919">
        <f t="shared" si="5"/>
        <v>6.1063901023253404</v>
      </c>
      <c r="D159" s="919">
        <f t="shared" si="0"/>
        <v>2.0046097505675452E-2</v>
      </c>
      <c r="E159" s="808">
        <f t="shared" si="8"/>
        <v>-16.979701615331578</v>
      </c>
      <c r="F159" s="431" t="s">
        <v>31</v>
      </c>
      <c r="G159" s="431"/>
      <c r="H159" s="829">
        <f t="shared" si="1"/>
        <v>52.647784028082441</v>
      </c>
      <c r="I159" s="818"/>
      <c r="J159" s="817"/>
      <c r="K159" s="814">
        <v>310</v>
      </c>
      <c r="L159" s="916">
        <f t="shared" si="6"/>
        <v>6.1063901023253407E-6</v>
      </c>
      <c r="M159" s="917">
        <f t="shared" si="7"/>
        <v>6.1063901023253404</v>
      </c>
      <c r="N159" s="917">
        <f t="shared" si="2"/>
        <v>2.0046097505675452E-2</v>
      </c>
      <c r="O159" s="808">
        <f t="shared" si="9"/>
        <v>-16.979701615331578</v>
      </c>
      <c r="P159" s="431" t="s">
        <v>31</v>
      </c>
      <c r="Q159" s="431"/>
      <c r="R159" s="816">
        <f t="shared" si="3"/>
        <v>31.110701832544777</v>
      </c>
      <c r="S159" s="818"/>
      <c r="T159" s="817"/>
      <c r="U159" s="1"/>
      <c r="V159" s="1"/>
      <c r="W159" s="1"/>
      <c r="X159" s="1"/>
      <c r="Y159" s="1"/>
      <c r="Z159" s="1"/>
      <c r="AA159" s="1"/>
    </row>
    <row r="160" spans="1:27">
      <c r="A160" s="833">
        <v>320</v>
      </c>
      <c r="B160" s="918">
        <f t="shared" si="4"/>
        <v>4.0349210074856952E-6</v>
      </c>
      <c r="C160" s="919">
        <f t="shared" si="5"/>
        <v>4.0349210074856954</v>
      </c>
      <c r="D160" s="919">
        <f t="shared" si="0"/>
        <v>1.3245865165567351E-2</v>
      </c>
      <c r="E160" s="808">
        <f t="shared" si="8"/>
        <v>-18.779196701065931</v>
      </c>
      <c r="F160" s="431" t="s">
        <v>31</v>
      </c>
      <c r="G160" s="431"/>
      <c r="H160" s="829">
        <f t="shared" si="1"/>
        <v>54.346099641891549</v>
      </c>
      <c r="I160" s="818"/>
      <c r="J160" s="817"/>
      <c r="K160" s="814">
        <v>320</v>
      </c>
      <c r="L160" s="916">
        <f t="shared" si="6"/>
        <v>4.0349210074856952E-6</v>
      </c>
      <c r="M160" s="917">
        <f t="shared" si="7"/>
        <v>4.0349210074856954</v>
      </c>
      <c r="N160" s="917">
        <f t="shared" si="2"/>
        <v>1.3245865165567351E-2</v>
      </c>
      <c r="O160" s="808">
        <f t="shared" si="9"/>
        <v>-18.779196701065931</v>
      </c>
      <c r="P160" s="431" t="s">
        <v>31</v>
      </c>
      <c r="Q160" s="431"/>
      <c r="R160" s="816">
        <f t="shared" si="3"/>
        <v>32.114272859401062</v>
      </c>
      <c r="S160" s="818"/>
      <c r="T160" s="817"/>
      <c r="U160" s="1"/>
      <c r="V160" s="1"/>
      <c r="W160" s="1"/>
      <c r="X160" s="1"/>
      <c r="Y160" s="1"/>
      <c r="Z160" s="1"/>
      <c r="AA160" s="1"/>
    </row>
    <row r="161" spans="1:27">
      <c r="A161" s="833">
        <v>330</v>
      </c>
      <c r="B161" s="918">
        <f t="shared" si="4"/>
        <v>2.2956841138659359E-6</v>
      </c>
      <c r="C161" s="919">
        <f t="shared" si="5"/>
        <v>2.2956841138659358</v>
      </c>
      <c r="D161" s="919">
        <f t="shared" si="0"/>
        <v>7.5362868761467208E-3</v>
      </c>
      <c r="E161" s="808">
        <f t="shared" si="8"/>
        <v>-21.228425780553884</v>
      </c>
      <c r="F161" s="431" t="s">
        <v>31</v>
      </c>
      <c r="G161" s="431" t="s">
        <v>3</v>
      </c>
      <c r="H161" s="829">
        <f t="shared" si="1"/>
        <v>56.04441525570067</v>
      </c>
      <c r="I161" s="818"/>
      <c r="J161" s="817"/>
      <c r="K161" s="814">
        <v>330</v>
      </c>
      <c r="L161" s="916">
        <f t="shared" si="6"/>
        <v>2.2956841138659359E-6</v>
      </c>
      <c r="M161" s="917">
        <f t="shared" si="7"/>
        <v>2.2956841138659358</v>
      </c>
      <c r="N161" s="917">
        <f t="shared" si="2"/>
        <v>7.5362868761467208E-3</v>
      </c>
      <c r="O161" s="808">
        <f t="shared" si="9"/>
        <v>-21.228425780553884</v>
      </c>
      <c r="P161" s="431" t="s">
        <v>31</v>
      </c>
      <c r="Q161" s="431" t="s">
        <v>3</v>
      </c>
      <c r="R161" s="816">
        <f t="shared" si="3"/>
        <v>33.117843886257347</v>
      </c>
      <c r="S161" s="818"/>
      <c r="T161" s="817"/>
      <c r="U161" s="1"/>
      <c r="V161" s="1"/>
      <c r="W161" s="1"/>
      <c r="X161" s="1"/>
      <c r="Y161" s="1"/>
      <c r="Z161" s="1"/>
      <c r="AA161" s="1"/>
    </row>
    <row r="162" spans="1:27">
      <c r="A162" s="833">
        <v>340</v>
      </c>
      <c r="B162" s="918">
        <f t="shared" si="4"/>
        <v>1.0119184986203364E-6</v>
      </c>
      <c r="C162" s="919">
        <f t="shared" si="5"/>
        <v>1.0119184986203364</v>
      </c>
      <c r="D162" s="919">
        <f t="shared" si="0"/>
        <v>3.3219326887444266E-3</v>
      </c>
      <c r="E162" s="808">
        <f t="shared" si="8"/>
        <v>-24.786091717651274</v>
      </c>
      <c r="F162" s="431" t="s">
        <v>31</v>
      </c>
      <c r="G162" s="431"/>
      <c r="H162" s="829">
        <f t="shared" si="1"/>
        <v>57.742730869509778</v>
      </c>
      <c r="I162" s="818"/>
      <c r="J162" s="817"/>
      <c r="K162" s="814">
        <v>340</v>
      </c>
      <c r="L162" s="916">
        <f t="shared" si="6"/>
        <v>1.0119184986203364E-6</v>
      </c>
      <c r="M162" s="917">
        <f t="shared" si="7"/>
        <v>1.0119184986203364</v>
      </c>
      <c r="N162" s="917">
        <f t="shared" si="2"/>
        <v>3.3219326887444266E-3</v>
      </c>
      <c r="O162" s="808">
        <f t="shared" si="9"/>
        <v>-24.786091717651274</v>
      </c>
      <c r="P162" s="431" t="s">
        <v>31</v>
      </c>
      <c r="Q162" s="431"/>
      <c r="R162" s="816">
        <f t="shared" si="3"/>
        <v>34.121414913113632</v>
      </c>
      <c r="S162" s="818"/>
      <c r="T162" s="817"/>
      <c r="U162" s="1"/>
      <c r="V162" s="1"/>
      <c r="W162" s="1"/>
      <c r="X162" s="1"/>
      <c r="Y162" s="1"/>
      <c r="Z162" s="1"/>
      <c r="AA162" s="1"/>
    </row>
    <row r="163" spans="1:27">
      <c r="A163" s="833">
        <v>350</v>
      </c>
      <c r="B163" s="918">
        <f t="shared" si="4"/>
        <v>2.4615256822078222E-7</v>
      </c>
      <c r="C163" s="919">
        <f t="shared" si="5"/>
        <v>0.24615256822078221</v>
      </c>
      <c r="D163" s="919">
        <f t="shared" si="0"/>
        <v>8.0807126651590564E-4</v>
      </c>
      <c r="E163" s="808">
        <f t="shared" si="8"/>
        <v>-30.925503356490015</v>
      </c>
      <c r="F163" s="431" t="s">
        <v>31</v>
      </c>
      <c r="G163" s="431"/>
      <c r="H163" s="829">
        <f t="shared" si="1"/>
        <v>59.441046483318885</v>
      </c>
      <c r="I163" s="818"/>
      <c r="J163" s="817"/>
      <c r="K163" s="814">
        <v>350</v>
      </c>
      <c r="L163" s="916">
        <f t="shared" si="6"/>
        <v>2.4615256822078222E-7</v>
      </c>
      <c r="M163" s="917">
        <f t="shared" si="7"/>
        <v>0.24615256822078221</v>
      </c>
      <c r="N163" s="917">
        <f t="shared" si="2"/>
        <v>8.0807126651590564E-4</v>
      </c>
      <c r="O163" s="808">
        <f t="shared" si="9"/>
        <v>-30.925503356490015</v>
      </c>
      <c r="P163" s="431" t="s">
        <v>31</v>
      </c>
      <c r="Q163" s="431"/>
      <c r="R163" s="816">
        <f t="shared" si="3"/>
        <v>35.12498593996991</v>
      </c>
      <c r="S163" s="818"/>
      <c r="T163" s="817"/>
      <c r="U163" s="1"/>
      <c r="V163" s="1"/>
      <c r="W163" s="1"/>
      <c r="X163" s="1"/>
      <c r="Y163" s="1"/>
      <c r="Z163" s="1"/>
      <c r="AA163" s="1"/>
    </row>
    <row r="164" spans="1:27">
      <c r="A164" s="833">
        <v>360</v>
      </c>
      <c r="B164" s="918">
        <f t="shared" si="4"/>
        <v>4.6326812856943794E-37</v>
      </c>
      <c r="C164" s="919">
        <f t="shared" si="5"/>
        <v>4.6326812856943792E-31</v>
      </c>
      <c r="D164" s="919">
        <f t="shared" si="0"/>
        <v>1.5208196530120668E-33</v>
      </c>
      <c r="E164" s="809">
        <f t="shared" si="8"/>
        <v>-328.17922283873054</v>
      </c>
      <c r="F164" s="431" t="s">
        <v>31</v>
      </c>
      <c r="G164" s="431"/>
      <c r="H164" s="829">
        <f t="shared" si="1"/>
        <v>61.139362097128</v>
      </c>
      <c r="I164" s="894" t="s">
        <v>733</v>
      </c>
      <c r="J164" s="893"/>
      <c r="K164" s="814">
        <v>360</v>
      </c>
      <c r="L164" s="916">
        <f t="shared" si="6"/>
        <v>4.6326812856943794E-37</v>
      </c>
      <c r="M164" s="917">
        <f t="shared" si="7"/>
        <v>4.6326812856943792E-31</v>
      </c>
      <c r="N164" s="917">
        <f t="shared" si="2"/>
        <v>1.5208196530120668E-33</v>
      </c>
      <c r="O164" s="809">
        <f t="shared" si="9"/>
        <v>-328.17922283873054</v>
      </c>
      <c r="P164" s="431" t="s">
        <v>31</v>
      </c>
      <c r="Q164" s="431"/>
      <c r="R164" s="816">
        <f t="shared" si="3"/>
        <v>36.128556966826196</v>
      </c>
      <c r="S164" s="894" t="s">
        <v>733</v>
      </c>
      <c r="T164" s="893"/>
      <c r="U164" s="1"/>
      <c r="V164" s="1"/>
      <c r="W164" s="1"/>
      <c r="X164" s="1"/>
      <c r="Y164" s="1"/>
      <c r="Z164" s="1"/>
      <c r="AA164" s="1"/>
    </row>
    <row r="165" spans="1:27">
      <c r="A165" s="833">
        <v>370</v>
      </c>
      <c r="B165" s="918">
        <f t="shared" si="4"/>
        <v>2.2026069837140728E-7</v>
      </c>
      <c r="C165" s="919">
        <f t="shared" si="5"/>
        <v>0.22026069837140727</v>
      </c>
      <c r="D165" s="919">
        <f t="shared" si="0"/>
        <v>7.230732662395756E-4</v>
      </c>
      <c r="E165" s="808">
        <f t="shared" si="8"/>
        <v>-31.408176950824426</v>
      </c>
      <c r="F165" s="431" t="s">
        <v>31</v>
      </c>
      <c r="G165" s="431"/>
      <c r="H165" s="829">
        <f t="shared" si="1"/>
        <v>62.837677710937115</v>
      </c>
      <c r="I165" s="818"/>
      <c r="J165" s="817"/>
      <c r="K165" s="814">
        <v>370</v>
      </c>
      <c r="L165" s="916">
        <f t="shared" si="6"/>
        <v>2.2026069837140728E-7</v>
      </c>
      <c r="M165" s="917">
        <f t="shared" si="7"/>
        <v>0.22026069837140727</v>
      </c>
      <c r="N165" s="917">
        <f t="shared" si="2"/>
        <v>7.230732662395756E-4</v>
      </c>
      <c r="O165" s="808">
        <f t="shared" si="9"/>
        <v>-31.408176950824426</v>
      </c>
      <c r="P165" s="431" t="s">
        <v>31</v>
      </c>
      <c r="Q165" s="431"/>
      <c r="R165" s="816">
        <f t="shared" si="3"/>
        <v>37.132127993682474</v>
      </c>
      <c r="S165" s="818"/>
      <c r="T165" s="817"/>
      <c r="U165" s="1"/>
      <c r="V165" s="1"/>
      <c r="W165" s="1"/>
      <c r="X165" s="1"/>
      <c r="Y165" s="1"/>
      <c r="Z165" s="1"/>
      <c r="AA165" s="1"/>
    </row>
    <row r="166" spans="1:27">
      <c r="A166" s="833">
        <v>380</v>
      </c>
      <c r="B166" s="918">
        <f t="shared" si="4"/>
        <v>8.1009541856309637E-7</v>
      </c>
      <c r="C166" s="919">
        <f t="shared" si="5"/>
        <v>0.81009541856309641</v>
      </c>
      <c r="D166" s="919">
        <f t="shared" si="0"/>
        <v>2.6593865569172885E-3</v>
      </c>
      <c r="E166" s="808">
        <f t="shared" si="8"/>
        <v>-25.752185309142369</v>
      </c>
      <c r="F166" s="431" t="s">
        <v>31</v>
      </c>
      <c r="G166" s="431"/>
      <c r="H166" s="829">
        <f t="shared" si="1"/>
        <v>64.535993324746229</v>
      </c>
      <c r="I166" s="818"/>
      <c r="J166" s="817"/>
      <c r="K166" s="814">
        <v>380</v>
      </c>
      <c r="L166" s="916">
        <f t="shared" si="6"/>
        <v>8.1009541856309637E-7</v>
      </c>
      <c r="M166" s="917">
        <f t="shared" si="7"/>
        <v>0.81009541856309641</v>
      </c>
      <c r="N166" s="917">
        <f t="shared" si="2"/>
        <v>2.6593865569172885E-3</v>
      </c>
      <c r="O166" s="808">
        <f t="shared" si="9"/>
        <v>-25.752185309142369</v>
      </c>
      <c r="P166" s="431" t="s">
        <v>31</v>
      </c>
      <c r="Q166" s="431"/>
      <c r="R166" s="816">
        <f t="shared" si="3"/>
        <v>38.135699020538766</v>
      </c>
      <c r="S166" s="818"/>
      <c r="T166" s="817"/>
      <c r="U166" s="1"/>
      <c r="V166" s="1"/>
      <c r="W166" s="1"/>
      <c r="X166" s="1"/>
      <c r="Y166" s="1"/>
      <c r="Z166" s="1"/>
      <c r="AA166" s="1"/>
    </row>
    <row r="167" spans="1:27">
      <c r="A167" s="833">
        <v>390</v>
      </c>
      <c r="B167" s="918">
        <f t="shared" si="4"/>
        <v>1.643655489809336E-6</v>
      </c>
      <c r="C167" s="919">
        <f t="shared" si="5"/>
        <v>1.6436554898093361</v>
      </c>
      <c r="D167" s="919">
        <f t="shared" si="0"/>
        <v>5.39580302966717E-3</v>
      </c>
      <c r="E167" s="808">
        <f t="shared" si="8"/>
        <v>-22.679439123526123</v>
      </c>
      <c r="F167" s="431" t="s">
        <v>31</v>
      </c>
      <c r="G167" s="431"/>
      <c r="H167" s="829">
        <f t="shared" si="1"/>
        <v>66.23430893855533</v>
      </c>
      <c r="I167" s="818"/>
      <c r="J167" s="817"/>
      <c r="K167" s="814">
        <v>390</v>
      </c>
      <c r="L167" s="916">
        <f t="shared" si="6"/>
        <v>1.643655489809336E-6</v>
      </c>
      <c r="M167" s="917">
        <f t="shared" si="7"/>
        <v>1.6436554898093361</v>
      </c>
      <c r="N167" s="917">
        <f t="shared" si="2"/>
        <v>5.39580302966717E-3</v>
      </c>
      <c r="O167" s="808">
        <f t="shared" si="9"/>
        <v>-22.679439123526123</v>
      </c>
      <c r="P167" s="431" t="s">
        <v>31</v>
      </c>
      <c r="Q167" s="431"/>
      <c r="R167" s="816">
        <f t="shared" si="3"/>
        <v>39.139270047395044</v>
      </c>
      <c r="S167" s="818"/>
      <c r="T167" s="817"/>
      <c r="U167" s="1"/>
      <c r="V167" s="1"/>
      <c r="W167" s="1"/>
      <c r="X167" s="1"/>
      <c r="Y167" s="1"/>
      <c r="Z167" s="1"/>
      <c r="AA167" s="1"/>
    </row>
    <row r="168" spans="1:27">
      <c r="A168" s="833">
        <v>400</v>
      </c>
      <c r="B168" s="918">
        <f t="shared" si="4"/>
        <v>2.5823494447908412E-6</v>
      </c>
      <c r="C168" s="919">
        <f t="shared" si="5"/>
        <v>2.5823494447908413</v>
      </c>
      <c r="D168" s="919">
        <f t="shared" si="0"/>
        <v>8.4773537059630918E-3</v>
      </c>
      <c r="E168" s="808">
        <f t="shared" si="8"/>
        <v>-20.717396961227067</v>
      </c>
      <c r="F168" s="431" t="s">
        <v>31</v>
      </c>
      <c r="G168" s="431"/>
      <c r="H168" s="829">
        <f t="shared" si="1"/>
        <v>67.932624552364445</v>
      </c>
      <c r="I168" s="818"/>
      <c r="J168" s="817"/>
      <c r="K168" s="814">
        <v>400</v>
      </c>
      <c r="L168" s="916">
        <f t="shared" si="6"/>
        <v>2.5823494447908412E-6</v>
      </c>
      <c r="M168" s="917">
        <f t="shared" si="7"/>
        <v>2.5823494447908413</v>
      </c>
      <c r="N168" s="917">
        <f t="shared" si="2"/>
        <v>8.4773537059630918E-3</v>
      </c>
      <c r="O168" s="808">
        <f t="shared" si="9"/>
        <v>-20.717396961227067</v>
      </c>
      <c r="P168" s="431" t="s">
        <v>31</v>
      </c>
      <c r="Q168" s="431"/>
      <c r="R168" s="816">
        <f t="shared" si="3"/>
        <v>40.142841074251329</v>
      </c>
      <c r="S168" s="818"/>
      <c r="T168" s="817"/>
      <c r="U168" s="1"/>
      <c r="V168" s="1"/>
      <c r="W168" s="1"/>
      <c r="X168" s="1"/>
      <c r="Y168" s="1"/>
      <c r="Z168" s="1"/>
      <c r="AA168" s="1"/>
    </row>
    <row r="169" spans="1:27">
      <c r="A169" s="833">
        <v>410</v>
      </c>
      <c r="B169" s="918">
        <f t="shared" si="4"/>
        <v>3.4909225986523783E-6</v>
      </c>
      <c r="C169" s="919">
        <f t="shared" si="5"/>
        <v>3.4909225986523782</v>
      </c>
      <c r="D169" s="919">
        <f t="shared" si="0"/>
        <v>1.1460023618652048E-2</v>
      </c>
      <c r="E169" s="808">
        <f t="shared" si="8"/>
        <v>-19.40814487304084</v>
      </c>
      <c r="F169" s="431" t="s">
        <v>31</v>
      </c>
      <c r="G169" s="431"/>
      <c r="H169" s="829">
        <f t="shared" si="1"/>
        <v>69.630940166173559</v>
      </c>
      <c r="I169" s="818"/>
      <c r="J169" s="817"/>
      <c r="K169" s="814">
        <v>410</v>
      </c>
      <c r="L169" s="916">
        <f t="shared" si="6"/>
        <v>3.4909225986523783E-6</v>
      </c>
      <c r="M169" s="917">
        <f t="shared" si="7"/>
        <v>3.4909225986523782</v>
      </c>
      <c r="N169" s="917">
        <f t="shared" si="2"/>
        <v>1.1460023618652048E-2</v>
      </c>
      <c r="O169" s="808">
        <f t="shared" si="9"/>
        <v>-19.40814487304084</v>
      </c>
      <c r="P169" s="431" t="s">
        <v>31</v>
      </c>
      <c r="Q169" s="431"/>
      <c r="R169" s="816">
        <f t="shared" si="3"/>
        <v>41.146412101107614</v>
      </c>
      <c r="S169" s="818"/>
      <c r="T169" s="817"/>
      <c r="U169" s="1"/>
      <c r="V169" s="1"/>
      <c r="W169" s="1"/>
      <c r="X169" s="1"/>
      <c r="Y169" s="1"/>
      <c r="Z169" s="1"/>
      <c r="AA169" s="1"/>
    </row>
    <row r="170" spans="1:27">
      <c r="A170" s="833">
        <v>420</v>
      </c>
      <c r="B170" s="918">
        <f t="shared" si="4"/>
        <v>4.2517006802721104E-6</v>
      </c>
      <c r="C170" s="919">
        <f t="shared" si="5"/>
        <v>4.2517006802721102</v>
      </c>
      <c r="D170" s="919">
        <f t="shared" si="0"/>
        <v>1.3957510898169673E-2</v>
      </c>
      <c r="E170" s="808">
        <f t="shared" si="8"/>
        <v>-18.551920243757522</v>
      </c>
      <c r="F170" s="431" t="s">
        <v>31</v>
      </c>
      <c r="G170" s="431"/>
      <c r="H170" s="829">
        <f t="shared" si="1"/>
        <v>71.329255779982674</v>
      </c>
      <c r="I170" s="818"/>
      <c r="J170" s="817"/>
      <c r="K170" s="814">
        <v>420</v>
      </c>
      <c r="L170" s="916">
        <f t="shared" si="6"/>
        <v>4.2517006802721104E-6</v>
      </c>
      <c r="M170" s="917">
        <f t="shared" si="7"/>
        <v>4.2517006802721102</v>
      </c>
      <c r="N170" s="917">
        <f t="shared" si="2"/>
        <v>1.3957510898169673E-2</v>
      </c>
      <c r="O170" s="808">
        <f t="shared" si="9"/>
        <v>-18.551920243757522</v>
      </c>
      <c r="P170" s="431" t="s">
        <v>31</v>
      </c>
      <c r="Q170" s="431"/>
      <c r="R170" s="816">
        <f t="shared" si="3"/>
        <v>42.149983127963893</v>
      </c>
      <c r="S170" s="818"/>
      <c r="T170" s="817"/>
      <c r="U170" s="1"/>
      <c r="V170" s="1"/>
      <c r="W170" s="1"/>
      <c r="X170" s="1"/>
      <c r="Y170" s="1"/>
      <c r="Z170" s="1"/>
      <c r="AA170" s="1"/>
    </row>
    <row r="171" spans="1:27">
      <c r="A171" s="833">
        <v>430</v>
      </c>
      <c r="B171" s="918">
        <f t="shared" si="4"/>
        <v>4.7756745352054575E-6</v>
      </c>
      <c r="C171" s="919">
        <f t="shared" si="5"/>
        <v>4.7756745352054573</v>
      </c>
      <c r="D171" s="919">
        <f t="shared" si="0"/>
        <v>1.5677615708116009E-2</v>
      </c>
      <c r="E171" s="808">
        <f t="shared" si="8"/>
        <v>-18.047199852449516</v>
      </c>
      <c r="F171" s="431" t="s">
        <v>31</v>
      </c>
      <c r="G171" s="431"/>
      <c r="H171" s="829">
        <f t="shared" si="1"/>
        <v>73.027571393791789</v>
      </c>
      <c r="I171" s="818"/>
      <c r="J171" s="817"/>
      <c r="K171" s="814">
        <v>430</v>
      </c>
      <c r="L171" s="916">
        <f t="shared" si="6"/>
        <v>4.7756745352054575E-6</v>
      </c>
      <c r="M171" s="917">
        <f t="shared" si="7"/>
        <v>4.7756745352054573</v>
      </c>
      <c r="N171" s="917">
        <f t="shared" si="2"/>
        <v>1.5677615708116009E-2</v>
      </c>
      <c r="O171" s="808">
        <f t="shared" si="9"/>
        <v>-18.047199852449516</v>
      </c>
      <c r="P171" s="431" t="s">
        <v>31</v>
      </c>
      <c r="Q171" s="431"/>
      <c r="R171" s="816">
        <f t="shared" si="3"/>
        <v>43.153554154820178</v>
      </c>
      <c r="S171" s="818"/>
      <c r="T171" s="817"/>
      <c r="U171" s="1"/>
      <c r="V171" s="1"/>
      <c r="W171" s="1"/>
      <c r="X171" s="1"/>
      <c r="Y171" s="1"/>
      <c r="Z171" s="1"/>
      <c r="AA171" s="1"/>
    </row>
    <row r="172" spans="1:27">
      <c r="A172" s="833">
        <v>440</v>
      </c>
      <c r="B172" s="918">
        <f t="shared" si="4"/>
        <v>5.0095367272363332E-6</v>
      </c>
      <c r="C172" s="919">
        <f t="shared" si="5"/>
        <v>5.0095367272363331</v>
      </c>
      <c r="D172" s="919">
        <f t="shared" si="0"/>
        <v>1.6445340047010884E-2</v>
      </c>
      <c r="E172" s="891">
        <f t="shared" si="8"/>
        <v>-17.839571420041555</v>
      </c>
      <c r="F172" s="431" t="s">
        <v>31</v>
      </c>
      <c r="G172" s="431"/>
      <c r="H172" s="829">
        <f t="shared" si="1"/>
        <v>74.725887007600889</v>
      </c>
      <c r="I172" s="881" t="s">
        <v>734</v>
      </c>
      <c r="J172" s="882"/>
      <c r="K172" s="814">
        <v>440</v>
      </c>
      <c r="L172" s="916">
        <f t="shared" si="6"/>
        <v>5.0095367272363332E-6</v>
      </c>
      <c r="M172" s="917">
        <f t="shared" si="7"/>
        <v>5.0095367272363331</v>
      </c>
      <c r="N172" s="917">
        <f t="shared" si="2"/>
        <v>1.6445340047010884E-2</v>
      </c>
      <c r="O172" s="891">
        <f t="shared" si="9"/>
        <v>-17.839571420041555</v>
      </c>
      <c r="P172" s="431" t="s">
        <v>31</v>
      </c>
      <c r="Q172" s="431"/>
      <c r="R172" s="816">
        <f t="shared" si="3"/>
        <v>44.157125181676463</v>
      </c>
      <c r="S172" s="881" t="s">
        <v>734</v>
      </c>
      <c r="T172" s="882"/>
      <c r="U172" s="1"/>
      <c r="V172" s="1"/>
      <c r="W172" s="1"/>
      <c r="X172" s="1"/>
      <c r="Y172" s="1"/>
      <c r="Z172" s="1"/>
      <c r="AA172" s="1"/>
    </row>
    <row r="173" spans="1:27">
      <c r="A173" s="833">
        <v>450</v>
      </c>
      <c r="B173" s="918">
        <f t="shared" si="4"/>
        <v>4.9382716049382717E-6</v>
      </c>
      <c r="C173" s="919">
        <f t="shared" si="5"/>
        <v>4.9382716049382713</v>
      </c>
      <c r="D173" s="919">
        <f t="shared" si="0"/>
        <v>1.6211390435800031E-2</v>
      </c>
      <c r="E173" s="808">
        <f t="shared" si="8"/>
        <v>-17.90179734522339</v>
      </c>
      <c r="F173" s="431" t="s">
        <v>31</v>
      </c>
      <c r="G173" s="431"/>
      <c r="H173" s="829">
        <f t="shared" si="1"/>
        <v>76.424202621410004</v>
      </c>
      <c r="I173" s="818"/>
      <c r="J173" s="817"/>
      <c r="K173" s="814">
        <v>450</v>
      </c>
      <c r="L173" s="916">
        <f t="shared" si="6"/>
        <v>4.9382716049382717E-6</v>
      </c>
      <c r="M173" s="917">
        <f t="shared" si="7"/>
        <v>4.9382716049382713</v>
      </c>
      <c r="N173" s="917">
        <f t="shared" si="2"/>
        <v>1.6211390435800031E-2</v>
      </c>
      <c r="O173" s="808">
        <f t="shared" si="9"/>
        <v>-17.90179734522339</v>
      </c>
      <c r="P173" s="431" t="s">
        <v>31</v>
      </c>
      <c r="Q173" s="431"/>
      <c r="R173" s="816">
        <f t="shared" si="3"/>
        <v>45.160696208532748</v>
      </c>
      <c r="S173" s="818"/>
      <c r="T173" s="817"/>
      <c r="U173" s="1"/>
      <c r="V173" s="1"/>
      <c r="W173" s="1"/>
      <c r="X173" s="1"/>
      <c r="Y173" s="1"/>
      <c r="Z173" s="1"/>
      <c r="AA173" s="1"/>
    </row>
    <row r="174" spans="1:27">
      <c r="A174" s="833">
        <v>460</v>
      </c>
      <c r="B174" s="918">
        <f t="shared" si="4"/>
        <v>4.5833946615924115E-6</v>
      </c>
      <c r="C174" s="919">
        <f t="shared" si="5"/>
        <v>4.5833946615924113</v>
      </c>
      <c r="D174" s="919">
        <f t="shared" si="0"/>
        <v>1.5046398077038316E-2</v>
      </c>
      <c r="E174" s="808">
        <f t="shared" si="8"/>
        <v>-18.225674523949287</v>
      </c>
      <c r="F174" s="431" t="s">
        <v>31</v>
      </c>
      <c r="G174" s="431"/>
      <c r="H174" s="829">
        <f t="shared" si="1"/>
        <v>78.122518235219104</v>
      </c>
      <c r="I174" s="818"/>
      <c r="J174" s="817"/>
      <c r="K174" s="814">
        <v>460</v>
      </c>
      <c r="L174" s="916">
        <f t="shared" si="6"/>
        <v>4.5833946615924115E-6</v>
      </c>
      <c r="M174" s="917">
        <f t="shared" si="7"/>
        <v>4.5833946615924113</v>
      </c>
      <c r="N174" s="917">
        <f t="shared" si="2"/>
        <v>1.5046398077038316E-2</v>
      </c>
      <c r="O174" s="808">
        <f t="shared" si="9"/>
        <v>-18.225674523949287</v>
      </c>
      <c r="P174" s="431" t="s">
        <v>31</v>
      </c>
      <c r="Q174" s="431"/>
      <c r="R174" s="816">
        <f t="shared" si="3"/>
        <v>46.164267235389026</v>
      </c>
      <c r="S174" s="818"/>
      <c r="T174" s="817"/>
      <c r="U174" s="1"/>
      <c r="V174" s="1"/>
      <c r="W174" s="1"/>
      <c r="X174" s="1"/>
      <c r="Y174" s="1"/>
      <c r="Z174" s="1"/>
      <c r="AA174" s="1"/>
    </row>
    <row r="175" spans="1:27">
      <c r="A175" s="833">
        <v>470</v>
      </c>
      <c r="B175" s="918">
        <f t="shared" si="4"/>
        <v>3.9973844344023967E-6</v>
      </c>
      <c r="C175" s="919">
        <f t="shared" si="5"/>
        <v>3.9973844344023965</v>
      </c>
      <c r="D175" s="919">
        <f t="shared" si="0"/>
        <v>1.3122639857087602E-2</v>
      </c>
      <c r="E175" s="808">
        <f t="shared" si="8"/>
        <v>-18.819787899572134</v>
      </c>
      <c r="F175" s="431" t="s">
        <v>31</v>
      </c>
      <c r="G175" s="431"/>
      <c r="H175" s="829">
        <f t="shared" si="1"/>
        <v>79.820833849028233</v>
      </c>
      <c r="I175" s="818"/>
      <c r="J175" s="817"/>
      <c r="K175" s="814">
        <v>470</v>
      </c>
      <c r="L175" s="916">
        <f t="shared" si="6"/>
        <v>3.9973844344023967E-6</v>
      </c>
      <c r="M175" s="917">
        <f t="shared" si="7"/>
        <v>3.9973844344023965</v>
      </c>
      <c r="N175" s="917">
        <f t="shared" si="2"/>
        <v>1.3122639857087602E-2</v>
      </c>
      <c r="O175" s="808">
        <f t="shared" si="9"/>
        <v>-18.819787899572134</v>
      </c>
      <c r="P175" s="431" t="s">
        <v>31</v>
      </c>
      <c r="Q175" s="431"/>
      <c r="R175" s="816">
        <f t="shared" si="3"/>
        <v>47.167838262245311</v>
      </c>
      <c r="S175" s="818"/>
      <c r="T175" s="817"/>
      <c r="U175" s="1"/>
      <c r="V175" s="1"/>
      <c r="W175" s="1"/>
      <c r="X175" s="1"/>
      <c r="Y175" s="1"/>
      <c r="Z175" s="1"/>
      <c r="AA175" s="1"/>
    </row>
    <row r="176" spans="1:27">
      <c r="A176" s="833">
        <v>480</v>
      </c>
      <c r="B176" s="918">
        <f t="shared" si="4"/>
        <v>3.2552083333333374E-6</v>
      </c>
      <c r="C176" s="919">
        <f t="shared" si="5"/>
        <v>3.2552083333333375</v>
      </c>
      <c r="D176" s="919">
        <f t="shared" si="0"/>
        <v>1.0686219281411165E-2</v>
      </c>
      <c r="E176" s="808">
        <f t="shared" si="8"/>
        <v>-19.711759183311251</v>
      </c>
      <c r="F176" s="431" t="s">
        <v>31</v>
      </c>
      <c r="G176" s="431"/>
      <c r="H176" s="829">
        <f t="shared" si="1"/>
        <v>81.519149462837333</v>
      </c>
      <c r="I176" s="818"/>
      <c r="J176" s="817"/>
      <c r="K176" s="814">
        <v>480</v>
      </c>
      <c r="L176" s="916">
        <f t="shared" si="6"/>
        <v>3.2552083333333374E-6</v>
      </c>
      <c r="M176" s="917">
        <f t="shared" si="7"/>
        <v>3.2552083333333375</v>
      </c>
      <c r="N176" s="917">
        <f t="shared" si="2"/>
        <v>1.0686219281411165E-2</v>
      </c>
      <c r="O176" s="808">
        <f t="shared" si="9"/>
        <v>-19.711759183311251</v>
      </c>
      <c r="P176" s="431" t="s">
        <v>31</v>
      </c>
      <c r="Q176" s="431"/>
      <c r="R176" s="816">
        <f t="shared" si="3"/>
        <v>48.171409289101589</v>
      </c>
      <c r="S176" s="818"/>
      <c r="T176" s="817"/>
      <c r="U176" s="1"/>
      <c r="V176" s="1"/>
      <c r="W176" s="1"/>
      <c r="X176" s="1"/>
      <c r="Y176" s="1"/>
      <c r="Z176" s="1"/>
      <c r="AA176" s="1"/>
    </row>
    <row r="177" spans="1:27">
      <c r="A177" s="833">
        <v>490</v>
      </c>
      <c r="B177" s="918">
        <f t="shared" si="4"/>
        <v>2.4440820026383361E-6</v>
      </c>
      <c r="C177" s="919">
        <f t="shared" si="5"/>
        <v>2.4440820026383361</v>
      </c>
      <c r="D177" s="919">
        <f t="shared" si="0"/>
        <v>8.023448439381126E-3</v>
      </c>
      <c r="E177" s="808">
        <f t="shared" si="8"/>
        <v>-20.956389339216408</v>
      </c>
      <c r="F177" s="431" t="s">
        <v>31</v>
      </c>
      <c r="G177" s="431"/>
      <c r="H177" s="829">
        <f t="shared" si="1"/>
        <v>83.217465076646448</v>
      </c>
      <c r="I177" s="818"/>
      <c r="J177" s="817"/>
      <c r="K177" s="814">
        <v>490</v>
      </c>
      <c r="L177" s="916">
        <f t="shared" si="6"/>
        <v>2.4440820026383361E-6</v>
      </c>
      <c r="M177" s="917">
        <f t="shared" si="7"/>
        <v>2.4440820026383361</v>
      </c>
      <c r="N177" s="917">
        <f t="shared" si="2"/>
        <v>8.023448439381126E-3</v>
      </c>
      <c r="O177" s="808">
        <f t="shared" si="9"/>
        <v>-20.956389339216408</v>
      </c>
      <c r="P177" s="431" t="s">
        <v>31</v>
      </c>
      <c r="Q177" s="431"/>
      <c r="R177" s="816">
        <f t="shared" si="3"/>
        <v>49.174980315957875</v>
      </c>
      <c r="S177" s="818"/>
      <c r="T177" s="817"/>
      <c r="U177" s="1"/>
      <c r="V177" s="1"/>
      <c r="W177" s="1"/>
      <c r="X177" s="1"/>
      <c r="Y177" s="1"/>
      <c r="Z177" s="1"/>
      <c r="AA177" s="1"/>
    </row>
    <row r="178" spans="1:27">
      <c r="A178" s="833">
        <v>500</v>
      </c>
      <c r="B178" s="918">
        <f t="shared" si="4"/>
        <v>1.6527036446661378E-6</v>
      </c>
      <c r="C178" s="919">
        <f t="shared" si="5"/>
        <v>1.6527036446661378</v>
      </c>
      <c r="D178" s="919">
        <f t="shared" si="0"/>
        <v>5.4255063718163764E-3</v>
      </c>
      <c r="E178" s="808">
        <f t="shared" si="8"/>
        <v>-22.655597221388199</v>
      </c>
      <c r="F178" s="431" t="s">
        <v>31</v>
      </c>
      <c r="G178" s="431"/>
      <c r="H178" s="829">
        <f t="shared" si="1"/>
        <v>84.915780690455549</v>
      </c>
      <c r="I178" s="818"/>
      <c r="J178" s="817"/>
      <c r="K178" s="814">
        <v>500</v>
      </c>
      <c r="L178" s="916">
        <f t="shared" si="6"/>
        <v>1.6527036446661378E-6</v>
      </c>
      <c r="M178" s="917">
        <f t="shared" si="7"/>
        <v>1.6527036446661378</v>
      </c>
      <c r="N178" s="917">
        <f t="shared" si="2"/>
        <v>5.4255063718163764E-3</v>
      </c>
      <c r="O178" s="808">
        <f t="shared" si="9"/>
        <v>-22.655597221388199</v>
      </c>
      <c r="P178" s="431" t="s">
        <v>31</v>
      </c>
      <c r="Q178" s="431"/>
      <c r="R178" s="816">
        <f t="shared" si="3"/>
        <v>50.17855134281416</v>
      </c>
      <c r="S178" s="818"/>
      <c r="T178" s="817"/>
      <c r="U178" s="1"/>
      <c r="V178" s="1"/>
      <c r="W178" s="1"/>
      <c r="X178" s="1"/>
      <c r="Y178" s="1"/>
      <c r="Z178" s="1"/>
      <c r="AA178" s="1"/>
    </row>
    <row r="179" spans="1:27">
      <c r="A179" s="833">
        <v>510</v>
      </c>
      <c r="B179" s="918">
        <f t="shared" si="4"/>
        <v>9.6116878123798444E-7</v>
      </c>
      <c r="C179" s="919">
        <f t="shared" si="5"/>
        <v>0.96116878123798444</v>
      </c>
      <c r="D179" s="919">
        <f t="shared" si="0"/>
        <v>3.1553311834385841E-3</v>
      </c>
      <c r="E179" s="808">
        <f t="shared" si="8"/>
        <v>-25.009550504954873</v>
      </c>
      <c r="F179" s="431" t="s">
        <v>31</v>
      </c>
      <c r="G179" s="431"/>
      <c r="H179" s="829">
        <f t="shared" si="1"/>
        <v>86.614096304264663</v>
      </c>
      <c r="I179" s="818"/>
      <c r="J179" s="817"/>
      <c r="K179" s="814">
        <v>510</v>
      </c>
      <c r="L179" s="916">
        <f t="shared" si="6"/>
        <v>9.6116878123798444E-7</v>
      </c>
      <c r="M179" s="917">
        <f t="shared" si="7"/>
        <v>0.96116878123798444</v>
      </c>
      <c r="N179" s="917">
        <f t="shared" si="2"/>
        <v>3.1553311834385841E-3</v>
      </c>
      <c r="O179" s="808">
        <f t="shared" si="9"/>
        <v>-25.009550504954873</v>
      </c>
      <c r="P179" s="431" t="s">
        <v>31</v>
      </c>
      <c r="Q179" s="431"/>
      <c r="R179" s="816">
        <f t="shared" si="3"/>
        <v>51.182122369670445</v>
      </c>
      <c r="S179" s="818"/>
      <c r="T179" s="817"/>
      <c r="U179" s="1"/>
      <c r="V179" s="1"/>
      <c r="W179" s="1"/>
      <c r="X179" s="1"/>
      <c r="Y179" s="1"/>
      <c r="Z179" s="1"/>
      <c r="AA179" s="1"/>
    </row>
    <row r="180" spans="1:27">
      <c r="A180" s="833">
        <v>520</v>
      </c>
      <c r="B180" s="918">
        <f t="shared" si="4"/>
        <v>4.3261012736875356E-7</v>
      </c>
      <c r="C180" s="919">
        <f t="shared" si="5"/>
        <v>0.43261012736875354</v>
      </c>
      <c r="D180" s="919">
        <f t="shared" si="0"/>
        <v>1.4201753654543489E-3</v>
      </c>
      <c r="E180" s="808">
        <f t="shared" si="8"/>
        <v>-28.476580249502152</v>
      </c>
      <c r="F180" s="431" t="s">
        <v>31</v>
      </c>
      <c r="G180" s="431"/>
      <c r="H180" s="829">
        <f t="shared" si="1"/>
        <v>88.312411918073778</v>
      </c>
      <c r="I180" s="818"/>
      <c r="J180" s="817"/>
      <c r="K180" s="814">
        <v>520</v>
      </c>
      <c r="L180" s="916">
        <f t="shared" si="6"/>
        <v>4.3261012736875356E-7</v>
      </c>
      <c r="M180" s="917">
        <f t="shared" si="7"/>
        <v>0.43261012736875354</v>
      </c>
      <c r="N180" s="917">
        <f t="shared" si="2"/>
        <v>1.4201753654543489E-3</v>
      </c>
      <c r="O180" s="808">
        <f t="shared" si="9"/>
        <v>-28.476580249502152</v>
      </c>
      <c r="P180" s="431" t="s">
        <v>31</v>
      </c>
      <c r="Q180" s="431"/>
      <c r="R180" s="816">
        <f t="shared" si="3"/>
        <v>52.185693396526723</v>
      </c>
      <c r="S180" s="818"/>
      <c r="T180" s="817"/>
      <c r="U180" s="1"/>
      <c r="V180" s="1"/>
      <c r="W180" s="1"/>
      <c r="X180" s="1"/>
      <c r="Y180" s="1"/>
      <c r="Z180" s="1"/>
      <c r="AA180" s="1"/>
    </row>
    <row r="181" spans="1:27">
      <c r="A181" s="833">
        <v>530</v>
      </c>
      <c r="B181" s="918">
        <f t="shared" si="4"/>
        <v>1.0734670561426081E-7</v>
      </c>
      <c r="C181" s="919">
        <f t="shared" si="5"/>
        <v>0.10734670561426081</v>
      </c>
      <c r="D181" s="919">
        <f t="shared" si="0"/>
        <v>3.5239846973370801E-4</v>
      </c>
      <c r="E181" s="808">
        <f t="shared" si="8"/>
        <v>-34.529659861500278</v>
      </c>
      <c r="F181" s="431" t="s">
        <v>31</v>
      </c>
      <c r="G181" s="431"/>
      <c r="H181" s="829">
        <f t="shared" si="1"/>
        <v>90.010727531882893</v>
      </c>
      <c r="I181" s="818"/>
      <c r="J181" s="817"/>
      <c r="K181" s="814">
        <v>530</v>
      </c>
      <c r="L181" s="916">
        <f t="shared" si="6"/>
        <v>1.0734670561426081E-7</v>
      </c>
      <c r="M181" s="917">
        <f t="shared" si="7"/>
        <v>0.10734670561426081</v>
      </c>
      <c r="N181" s="917">
        <f t="shared" si="2"/>
        <v>3.5239846973370801E-4</v>
      </c>
      <c r="O181" s="808">
        <f t="shared" si="9"/>
        <v>-34.529659861500278</v>
      </c>
      <c r="P181" s="431" t="s">
        <v>31</v>
      </c>
      <c r="Q181" s="431"/>
      <c r="R181" s="816">
        <f t="shared" si="3"/>
        <v>53.189264423383015</v>
      </c>
      <c r="S181" s="818"/>
      <c r="T181" s="817"/>
      <c r="U181" s="1"/>
      <c r="V181" s="1"/>
      <c r="W181" s="1"/>
      <c r="X181" s="1"/>
      <c r="Y181" s="1"/>
      <c r="Z181" s="1"/>
      <c r="AA181" s="1"/>
    </row>
    <row r="182" spans="1:27">
      <c r="A182" s="833">
        <v>540</v>
      </c>
      <c r="B182" s="918">
        <f t="shared" si="4"/>
        <v>4.6326812856943794E-37</v>
      </c>
      <c r="C182" s="919">
        <f t="shared" si="5"/>
        <v>4.6326812856943792E-31</v>
      </c>
      <c r="D182" s="919">
        <f t="shared" si="0"/>
        <v>1.5208196530120668E-33</v>
      </c>
      <c r="E182" s="809">
        <f t="shared" si="8"/>
        <v>-328.17922283873054</v>
      </c>
      <c r="F182" s="431" t="s">
        <v>31</v>
      </c>
      <c r="G182" s="431"/>
      <c r="H182" s="829">
        <f t="shared" si="1"/>
        <v>91.709043145692007</v>
      </c>
      <c r="I182" s="894" t="s">
        <v>735</v>
      </c>
      <c r="J182" s="893"/>
      <c r="K182" s="814">
        <v>540</v>
      </c>
      <c r="L182" s="916">
        <f t="shared" si="6"/>
        <v>4.6326812856943794E-37</v>
      </c>
      <c r="M182" s="917">
        <f t="shared" si="7"/>
        <v>4.6326812856943792E-31</v>
      </c>
      <c r="N182" s="917">
        <f t="shared" si="2"/>
        <v>1.5208196530120668E-33</v>
      </c>
      <c r="O182" s="809">
        <f t="shared" si="9"/>
        <v>-328.17922283873054</v>
      </c>
      <c r="P182" s="431" t="s">
        <v>31</v>
      </c>
      <c r="Q182" s="431"/>
      <c r="R182" s="816">
        <f t="shared" si="3"/>
        <v>54.192835450239293</v>
      </c>
      <c r="S182" s="894" t="s">
        <v>735</v>
      </c>
      <c r="T182" s="893"/>
      <c r="U182" s="1"/>
      <c r="V182" s="1"/>
      <c r="W182" s="1"/>
      <c r="X182" s="1"/>
      <c r="Y182" s="1"/>
      <c r="Z182" s="1"/>
      <c r="AA182" s="1"/>
    </row>
    <row r="183" spans="1:27">
      <c r="A183" s="833">
        <v>550</v>
      </c>
      <c r="B183" s="918">
        <f t="shared" si="4"/>
        <v>9.9681618535687958E-8</v>
      </c>
      <c r="C183" s="919">
        <f t="shared" si="5"/>
        <v>9.9681618535687952E-2</v>
      </c>
      <c r="D183" s="919">
        <f t="shared" si="0"/>
        <v>3.2723547156429005E-4</v>
      </c>
      <c r="E183" s="808">
        <f t="shared" si="8"/>
        <v>-34.851396259369409</v>
      </c>
      <c r="F183" s="431" t="s">
        <v>31</v>
      </c>
      <c r="G183" s="431"/>
      <c r="H183" s="829">
        <f t="shared" si="1"/>
        <v>93.407358759501108</v>
      </c>
      <c r="I183" s="818"/>
      <c r="J183" s="817"/>
      <c r="K183" s="814">
        <v>550</v>
      </c>
      <c r="L183" s="916">
        <f t="shared" si="6"/>
        <v>9.9681618535687958E-8</v>
      </c>
      <c r="M183" s="917">
        <f t="shared" si="7"/>
        <v>9.9681618535687952E-2</v>
      </c>
      <c r="N183" s="917">
        <f t="shared" si="2"/>
        <v>3.2723547156429005E-4</v>
      </c>
      <c r="O183" s="808">
        <f t="shared" si="9"/>
        <v>-34.851396259369409</v>
      </c>
      <c r="P183" s="431" t="s">
        <v>31</v>
      </c>
      <c r="Q183" s="431"/>
      <c r="R183" s="816">
        <f t="shared" si="3"/>
        <v>55.196406477095579</v>
      </c>
      <c r="S183" s="818"/>
      <c r="T183" s="817"/>
      <c r="U183" s="1"/>
      <c r="V183" s="1"/>
      <c r="W183" s="1"/>
      <c r="X183" s="1"/>
      <c r="Y183" s="1"/>
      <c r="Z183" s="1"/>
      <c r="AA183" s="1"/>
    </row>
    <row r="184" spans="1:27">
      <c r="A184" s="833">
        <v>560</v>
      </c>
      <c r="B184" s="918">
        <f t="shared" si="4"/>
        <v>3.7301587512917883E-7</v>
      </c>
      <c r="C184" s="919">
        <f t="shared" si="5"/>
        <v>0.37301587512917883</v>
      </c>
      <c r="D184" s="919">
        <f t="shared" si="0"/>
        <v>1.2245389630703265E-3</v>
      </c>
      <c r="E184" s="808">
        <f t="shared" si="8"/>
        <v>-29.120273916930199</v>
      </c>
      <c r="F184" s="431" t="s">
        <v>31</v>
      </c>
      <c r="G184" s="431"/>
      <c r="H184" s="829">
        <f t="shared" ref="H184:H211" si="10">(($F$96/2)*A184)/79.76</f>
        <v>95.105674373310222</v>
      </c>
      <c r="I184" s="818"/>
      <c r="J184" s="817"/>
      <c r="K184" s="814">
        <v>560</v>
      </c>
      <c r="L184" s="916">
        <f t="shared" si="6"/>
        <v>3.7301587512917883E-7</v>
      </c>
      <c r="M184" s="917">
        <f t="shared" si="7"/>
        <v>0.37301587512917883</v>
      </c>
      <c r="N184" s="917">
        <f t="shared" si="2"/>
        <v>1.2245389630703265E-3</v>
      </c>
      <c r="O184" s="808">
        <f t="shared" si="9"/>
        <v>-29.120273916930199</v>
      </c>
      <c r="P184" s="431" t="s">
        <v>31</v>
      </c>
      <c r="Q184" s="431"/>
      <c r="R184" s="816">
        <f t="shared" ref="R184:R211" si="11">(($M$96/2)*K184)/79.76</f>
        <v>56.199977503951864</v>
      </c>
      <c r="S184" s="818"/>
      <c r="T184" s="817"/>
      <c r="U184" s="1"/>
      <c r="V184" s="1"/>
      <c r="W184" s="1"/>
      <c r="X184" s="1"/>
      <c r="Y184" s="1"/>
      <c r="Z184" s="1"/>
      <c r="AA184" s="1"/>
    </row>
    <row r="185" spans="1:27">
      <c r="A185" s="833">
        <v>570</v>
      </c>
      <c r="B185" s="918">
        <f t="shared" si="4"/>
        <v>7.6946752847029604E-7</v>
      </c>
      <c r="C185" s="919">
        <f t="shared" si="5"/>
        <v>0.76946752847029609</v>
      </c>
      <c r="D185" s="919">
        <f t="shared" si="0"/>
        <v>2.5260130526696643E-3</v>
      </c>
      <c r="E185" s="808">
        <f t="shared" si="8"/>
        <v>-25.975644096445979</v>
      </c>
      <c r="F185" s="431" t="s">
        <v>31</v>
      </c>
      <c r="G185" s="431"/>
      <c r="H185" s="829">
        <f t="shared" si="10"/>
        <v>96.803989987119337</v>
      </c>
      <c r="I185" s="818"/>
      <c r="J185" s="817"/>
      <c r="K185" s="814">
        <v>570</v>
      </c>
      <c r="L185" s="916">
        <f t="shared" si="6"/>
        <v>7.6946752847029604E-7</v>
      </c>
      <c r="M185" s="917">
        <f t="shared" si="7"/>
        <v>0.76946752847029609</v>
      </c>
      <c r="N185" s="917">
        <f t="shared" si="2"/>
        <v>2.5260130526696643E-3</v>
      </c>
      <c r="O185" s="808">
        <f t="shared" si="9"/>
        <v>-25.975644096445979</v>
      </c>
      <c r="P185" s="431" t="s">
        <v>31</v>
      </c>
      <c r="Q185" s="431"/>
      <c r="R185" s="816">
        <f t="shared" si="11"/>
        <v>57.203548530808142</v>
      </c>
      <c r="S185" s="818"/>
      <c r="T185" s="817"/>
      <c r="U185" s="1"/>
      <c r="V185" s="1"/>
      <c r="W185" s="1"/>
      <c r="X185" s="1"/>
      <c r="Y185" s="1"/>
      <c r="Z185" s="1"/>
      <c r="AA185" s="1"/>
    </row>
    <row r="186" spans="1:27">
      <c r="A186" s="833">
        <v>580</v>
      </c>
      <c r="B186" s="918">
        <f t="shared" ref="B186:B211" si="12">((SIN(RADIANS(A186)))^2)/A186^2</f>
        <v>1.2282280355723409E-6</v>
      </c>
      <c r="C186" s="919">
        <f t="shared" si="5"/>
        <v>1.2282280355723409</v>
      </c>
      <c r="D186" s="919">
        <f t="shared" si="0"/>
        <v>4.0320350563439284E-3</v>
      </c>
      <c r="E186" s="808">
        <f t="shared" si="8"/>
        <v>-23.944757005926558</v>
      </c>
      <c r="F186" s="431" t="s">
        <v>31</v>
      </c>
      <c r="G186" s="431"/>
      <c r="H186" s="829">
        <f t="shared" si="10"/>
        <v>98.502305600928452</v>
      </c>
      <c r="I186" s="818"/>
      <c r="J186" s="817"/>
      <c r="K186" s="814">
        <v>580</v>
      </c>
      <c r="L186" s="916">
        <f t="shared" ref="L186:L211" si="13">((SIN(RADIANS(K186)))^2)/K186^2</f>
        <v>1.2282280355723409E-6</v>
      </c>
      <c r="M186" s="917">
        <f t="shared" si="7"/>
        <v>1.2282280355723409</v>
      </c>
      <c r="N186" s="917">
        <f t="shared" si="2"/>
        <v>4.0320350563439284E-3</v>
      </c>
      <c r="O186" s="808">
        <f t="shared" si="9"/>
        <v>-23.944757005926558</v>
      </c>
      <c r="P186" s="431" t="s">
        <v>31</v>
      </c>
      <c r="Q186" s="431"/>
      <c r="R186" s="816">
        <f t="shared" si="11"/>
        <v>58.207119557664427</v>
      </c>
      <c r="S186" s="818"/>
      <c r="T186" s="817"/>
      <c r="U186" s="1"/>
      <c r="V186" s="1"/>
      <c r="W186" s="1"/>
      <c r="X186" s="1"/>
      <c r="Y186" s="1"/>
      <c r="Z186" s="1"/>
      <c r="AA186" s="1"/>
    </row>
    <row r="187" spans="1:27">
      <c r="A187" s="833">
        <v>590</v>
      </c>
      <c r="B187" s="918">
        <f t="shared" si="12"/>
        <v>1.6857916944368443E-6</v>
      </c>
      <c r="C187" s="919">
        <f t="shared" si="5"/>
        <v>1.6857916944368443</v>
      </c>
      <c r="D187" s="919">
        <f t="shared" si="0"/>
        <v>5.5341280387687783E-3</v>
      </c>
      <c r="E187" s="808">
        <f t="shared" ref="E187:E211" si="14">10*LOG10(D187)</f>
        <v>-22.56950797148901</v>
      </c>
      <c r="F187" s="431" t="s">
        <v>31</v>
      </c>
      <c r="G187" s="431"/>
      <c r="H187" s="829">
        <f t="shared" si="10"/>
        <v>100.20062121473755</v>
      </c>
      <c r="I187" s="818"/>
      <c r="J187" s="817"/>
      <c r="K187" s="814">
        <v>590</v>
      </c>
      <c r="L187" s="916">
        <f t="shared" si="13"/>
        <v>1.6857916944368443E-6</v>
      </c>
      <c r="M187" s="917">
        <f t="shared" si="7"/>
        <v>1.6857916944368443</v>
      </c>
      <c r="N187" s="917">
        <f t="shared" si="2"/>
        <v>5.5341280387687783E-3</v>
      </c>
      <c r="O187" s="808">
        <f t="shared" ref="O187:O211" si="15">10*LOG10(N187)</f>
        <v>-22.56950797148901</v>
      </c>
      <c r="P187" s="431" t="s">
        <v>31</v>
      </c>
      <c r="Q187" s="431"/>
      <c r="R187" s="816">
        <f t="shared" si="11"/>
        <v>59.210690584520705</v>
      </c>
      <c r="S187" s="818"/>
      <c r="T187" s="817"/>
      <c r="U187" s="1"/>
      <c r="V187" s="1"/>
      <c r="W187" s="1"/>
      <c r="X187" s="1"/>
      <c r="Y187" s="1"/>
      <c r="Z187" s="1"/>
      <c r="AA187" s="1"/>
    </row>
    <row r="188" spans="1:27">
      <c r="A188" s="833">
        <v>600</v>
      </c>
      <c r="B188" s="918">
        <f t="shared" si="12"/>
        <v>2.0833333333333334E-6</v>
      </c>
      <c r="C188" s="919">
        <f t="shared" si="5"/>
        <v>2.0833333333333335</v>
      </c>
      <c r="D188" s="919">
        <f t="shared" si="0"/>
        <v>6.8391803401031378E-3</v>
      </c>
      <c r="E188" s="808">
        <f t="shared" si="14"/>
        <v>-21.64995944347239</v>
      </c>
      <c r="F188" s="431" t="s">
        <v>31</v>
      </c>
      <c r="G188" s="431"/>
      <c r="H188" s="829">
        <f t="shared" si="10"/>
        <v>101.89893682854667</v>
      </c>
      <c r="I188" s="818"/>
      <c r="J188" s="817"/>
      <c r="K188" s="814">
        <v>600</v>
      </c>
      <c r="L188" s="916">
        <f t="shared" si="13"/>
        <v>2.0833333333333334E-6</v>
      </c>
      <c r="M188" s="917">
        <f t="shared" si="7"/>
        <v>2.0833333333333335</v>
      </c>
      <c r="N188" s="917">
        <f t="shared" si="2"/>
        <v>6.8391803401031378E-3</v>
      </c>
      <c r="O188" s="808">
        <f t="shared" si="15"/>
        <v>-21.64995944347239</v>
      </c>
      <c r="P188" s="431" t="s">
        <v>31</v>
      </c>
      <c r="Q188" s="431"/>
      <c r="R188" s="816">
        <f t="shared" si="11"/>
        <v>60.21426161137699</v>
      </c>
      <c r="S188" s="818"/>
      <c r="T188" s="817"/>
      <c r="U188" s="1"/>
      <c r="V188" s="1"/>
      <c r="W188" s="1"/>
      <c r="X188" s="1"/>
      <c r="Y188" s="1"/>
      <c r="Z188" s="1"/>
      <c r="AA188" s="1"/>
    </row>
    <row r="189" spans="1:27">
      <c r="A189" s="833">
        <v>610</v>
      </c>
      <c r="B189" s="918">
        <f t="shared" si="12"/>
        <v>2.3730777252337787E-6</v>
      </c>
      <c r="C189" s="919">
        <f t="shared" si="5"/>
        <v>2.3730777252337787</v>
      </c>
      <c r="D189" s="919">
        <f t="shared" ref="D189:D211" si="16">C189/304.6174</f>
        <v>7.7903551314986563E-3</v>
      </c>
      <c r="E189" s="808">
        <f t="shared" si="14"/>
        <v>-21.084427441073128</v>
      </c>
      <c r="F189" s="431" t="s">
        <v>31</v>
      </c>
      <c r="G189" s="431"/>
      <c r="H189" s="829">
        <f t="shared" si="10"/>
        <v>103.59725244235578</v>
      </c>
      <c r="I189" s="818"/>
      <c r="J189" s="817"/>
      <c r="K189" s="814">
        <v>610</v>
      </c>
      <c r="L189" s="916">
        <f t="shared" si="13"/>
        <v>2.3730777252337787E-6</v>
      </c>
      <c r="M189" s="917">
        <f t="shared" si="7"/>
        <v>2.3730777252337787</v>
      </c>
      <c r="N189" s="917">
        <f t="shared" ref="N189:N211" si="17">M189/304.6174</f>
        <v>7.7903551314986563E-3</v>
      </c>
      <c r="O189" s="808">
        <f t="shared" si="15"/>
        <v>-21.084427441073128</v>
      </c>
      <c r="P189" s="431" t="s">
        <v>31</v>
      </c>
      <c r="Q189" s="431"/>
      <c r="R189" s="816">
        <f t="shared" si="11"/>
        <v>61.217832638233276</v>
      </c>
      <c r="S189" s="818"/>
      <c r="T189" s="817"/>
      <c r="U189" s="1"/>
      <c r="V189" s="1"/>
      <c r="W189" s="1"/>
      <c r="X189" s="1"/>
      <c r="Y189" s="1"/>
      <c r="Z189" s="1"/>
      <c r="AA189" s="1"/>
    </row>
    <row r="190" spans="1:27">
      <c r="A190" s="833">
        <v>620</v>
      </c>
      <c r="B190" s="918">
        <f t="shared" si="12"/>
        <v>2.5230132944665821E-6</v>
      </c>
      <c r="C190" s="919">
        <f t="shared" si="5"/>
        <v>2.523013294466582</v>
      </c>
      <c r="D190" s="919">
        <f t="shared" si="16"/>
        <v>8.2825646022406541E-3</v>
      </c>
      <c r="E190" s="891">
        <f t="shared" si="14"/>
        <v>-20.818351680282881</v>
      </c>
      <c r="F190" s="431" t="s">
        <v>31</v>
      </c>
      <c r="G190" s="431"/>
      <c r="H190" s="829">
        <f t="shared" si="10"/>
        <v>105.29556805616488</v>
      </c>
      <c r="I190" s="881" t="s">
        <v>736</v>
      </c>
      <c r="J190" s="882"/>
      <c r="K190" s="814">
        <v>620</v>
      </c>
      <c r="L190" s="916">
        <f t="shared" si="13"/>
        <v>2.5230132944665821E-6</v>
      </c>
      <c r="M190" s="917">
        <f t="shared" si="7"/>
        <v>2.523013294466582</v>
      </c>
      <c r="N190" s="917">
        <f t="shared" si="17"/>
        <v>8.2825646022406541E-3</v>
      </c>
      <c r="O190" s="891">
        <f t="shared" si="15"/>
        <v>-20.818351680282881</v>
      </c>
      <c r="P190" s="431" t="s">
        <v>31</v>
      </c>
      <c r="Q190" s="431"/>
      <c r="R190" s="816">
        <f t="shared" si="11"/>
        <v>62.221403665089554</v>
      </c>
      <c r="S190" s="881" t="s">
        <v>736</v>
      </c>
      <c r="T190" s="882"/>
      <c r="U190" s="1"/>
      <c r="V190" s="1"/>
      <c r="W190" s="1"/>
      <c r="X190" s="1"/>
      <c r="Y190" s="1"/>
      <c r="Z190" s="1"/>
      <c r="AA190" s="1"/>
    </row>
    <row r="191" spans="1:27">
      <c r="A191" s="833">
        <v>630</v>
      </c>
      <c r="B191" s="918">
        <f t="shared" si="12"/>
        <v>2.5195263290501387E-6</v>
      </c>
      <c r="C191" s="919">
        <f t="shared" ref="C191:C211" si="18">B191*1000000</f>
        <v>2.5195263290501386</v>
      </c>
      <c r="D191" s="919">
        <f t="shared" si="16"/>
        <v>8.2711175692857294E-3</v>
      </c>
      <c r="E191" s="808">
        <f t="shared" si="14"/>
        <v>-20.82435805878815</v>
      </c>
      <c r="F191" s="431" t="s">
        <v>31</v>
      </c>
      <c r="G191" s="431"/>
      <c r="H191" s="829">
        <f t="shared" si="10"/>
        <v>106.993883669974</v>
      </c>
      <c r="I191" s="818"/>
      <c r="J191" s="817"/>
      <c r="K191" s="814">
        <v>630</v>
      </c>
      <c r="L191" s="916">
        <f t="shared" si="13"/>
        <v>2.5195263290501387E-6</v>
      </c>
      <c r="M191" s="917">
        <f t="shared" ref="M191:M211" si="19">L191*1000000</f>
        <v>2.5195263290501386</v>
      </c>
      <c r="N191" s="917">
        <f t="shared" si="17"/>
        <v>8.2711175692857294E-3</v>
      </c>
      <c r="O191" s="808">
        <f t="shared" si="15"/>
        <v>-20.82435805878815</v>
      </c>
      <c r="P191" s="431" t="s">
        <v>31</v>
      </c>
      <c r="Q191" s="431"/>
      <c r="R191" s="816">
        <f t="shared" si="11"/>
        <v>63.224974691945839</v>
      </c>
      <c r="S191" s="818"/>
      <c r="T191" s="817"/>
      <c r="U191" s="1"/>
      <c r="V191" s="1"/>
      <c r="W191" s="1"/>
      <c r="X191" s="1"/>
      <c r="Y191" s="1"/>
      <c r="Z191" s="1"/>
      <c r="AA191" s="1"/>
    </row>
    <row r="192" spans="1:27">
      <c r="A192" s="833">
        <v>640</v>
      </c>
      <c r="B192" s="918">
        <f t="shared" si="12"/>
        <v>2.3677888437327986E-6</v>
      </c>
      <c r="C192" s="919">
        <f t="shared" si="18"/>
        <v>2.3677888437327987</v>
      </c>
      <c r="D192" s="919">
        <f t="shared" si="16"/>
        <v>7.7729927565949909E-3</v>
      </c>
      <c r="E192" s="808">
        <f t="shared" si="14"/>
        <v>-21.094117369995548</v>
      </c>
      <c r="F192" s="431" t="s">
        <v>31</v>
      </c>
      <c r="G192" s="431"/>
      <c r="H192" s="829">
        <f t="shared" si="10"/>
        <v>108.6921992837831</v>
      </c>
      <c r="I192" s="818"/>
      <c r="J192" s="817"/>
      <c r="K192" s="814">
        <v>640</v>
      </c>
      <c r="L192" s="916">
        <f t="shared" si="13"/>
        <v>2.3677888437327986E-6</v>
      </c>
      <c r="M192" s="917">
        <f t="shared" si="19"/>
        <v>2.3677888437327987</v>
      </c>
      <c r="N192" s="917">
        <f t="shared" si="17"/>
        <v>7.7729927565949909E-3</v>
      </c>
      <c r="O192" s="808">
        <f t="shared" si="15"/>
        <v>-21.094117369995548</v>
      </c>
      <c r="P192" s="431" t="s">
        <v>31</v>
      </c>
      <c r="Q192" s="431"/>
      <c r="R192" s="816">
        <f t="shared" si="11"/>
        <v>64.228545718802124</v>
      </c>
      <c r="S192" s="818"/>
      <c r="T192" s="817"/>
      <c r="U192" s="1"/>
      <c r="V192" s="1"/>
      <c r="W192" s="1"/>
      <c r="X192" s="1"/>
      <c r="Y192" s="1"/>
      <c r="Z192" s="1"/>
      <c r="AA192" s="1"/>
    </row>
    <row r="193" spans="1:27">
      <c r="A193" s="833">
        <v>650</v>
      </c>
      <c r="B193" s="918">
        <f t="shared" si="12"/>
        <v>2.0899934238094428E-6</v>
      </c>
      <c r="C193" s="919">
        <f t="shared" si="18"/>
        <v>2.0899934238094429</v>
      </c>
      <c r="D193" s="919">
        <f t="shared" si="16"/>
        <v>6.8610441288299451E-3</v>
      </c>
      <c r="E193" s="808">
        <f t="shared" si="14"/>
        <v>-21.636097873714895</v>
      </c>
      <c r="F193" s="431" t="s">
        <v>31</v>
      </c>
      <c r="G193" s="431"/>
      <c r="H193" s="829">
        <f t="shared" si="10"/>
        <v>110.39051489759224</v>
      </c>
      <c r="I193" s="818"/>
      <c r="J193" s="817"/>
      <c r="K193" s="814">
        <v>650</v>
      </c>
      <c r="L193" s="916">
        <f t="shared" si="13"/>
        <v>2.0899934238094428E-6</v>
      </c>
      <c r="M193" s="917">
        <f t="shared" si="19"/>
        <v>2.0899934238094429</v>
      </c>
      <c r="N193" s="917">
        <f t="shared" si="17"/>
        <v>6.8610441288299451E-3</v>
      </c>
      <c r="O193" s="808">
        <f t="shared" si="15"/>
        <v>-21.636097873714895</v>
      </c>
      <c r="P193" s="431" t="s">
        <v>31</v>
      </c>
      <c r="Q193" s="431"/>
      <c r="R193" s="816">
        <f t="shared" si="11"/>
        <v>65.232116745658416</v>
      </c>
      <c r="S193" s="818"/>
      <c r="T193" s="817"/>
      <c r="U193" s="1"/>
      <c r="V193" s="1"/>
      <c r="W193" s="1"/>
      <c r="X193" s="1"/>
      <c r="Y193" s="1"/>
      <c r="Z193" s="1"/>
      <c r="AA193" s="1"/>
    </row>
    <row r="194" spans="1:27">
      <c r="A194" s="833">
        <v>670</v>
      </c>
      <c r="B194" s="918">
        <f t="shared" si="12"/>
        <v>1.3072490283659268E-6</v>
      </c>
      <c r="C194" s="919">
        <f t="shared" si="18"/>
        <v>1.3072490283659268</v>
      </c>
      <c r="D194" s="919">
        <f t="shared" si="16"/>
        <v>4.2914456901212046E-3</v>
      </c>
      <c r="E194" s="808">
        <f t="shared" si="14"/>
        <v>-23.673963792662658</v>
      </c>
      <c r="F194" s="431" t="s">
        <v>31</v>
      </c>
      <c r="G194" s="431"/>
      <c r="H194" s="829">
        <f t="shared" si="10"/>
        <v>113.78714612521046</v>
      </c>
      <c r="I194" s="818"/>
      <c r="J194" s="817"/>
      <c r="K194" s="814">
        <v>670</v>
      </c>
      <c r="L194" s="916">
        <f t="shared" si="13"/>
        <v>1.3072490283659268E-6</v>
      </c>
      <c r="M194" s="917">
        <f t="shared" si="19"/>
        <v>1.3072490283659268</v>
      </c>
      <c r="N194" s="917">
        <f t="shared" si="17"/>
        <v>4.2914456901212046E-3</v>
      </c>
      <c r="O194" s="808">
        <f t="shared" si="15"/>
        <v>-23.673963792662658</v>
      </c>
      <c r="P194" s="431" t="s">
        <v>31</v>
      </c>
      <c r="Q194" s="431"/>
      <c r="R194" s="816">
        <f t="shared" si="11"/>
        <v>67.239258799370972</v>
      </c>
      <c r="S194" s="818"/>
      <c r="T194" s="817"/>
      <c r="U194" s="1"/>
      <c r="V194" s="1"/>
      <c r="W194" s="1"/>
      <c r="X194" s="1"/>
      <c r="Y194" s="1"/>
      <c r="Z194" s="1"/>
      <c r="AA194" s="1"/>
    </row>
    <row r="195" spans="1:27">
      <c r="A195" s="833">
        <v>680</v>
      </c>
      <c r="B195" s="918">
        <f t="shared" si="12"/>
        <v>8.9354652068887208E-7</v>
      </c>
      <c r="C195" s="919">
        <f t="shared" si="18"/>
        <v>0.89354652068887208</v>
      </c>
      <c r="D195" s="919">
        <f t="shared" si="16"/>
        <v>2.93334038268619E-3</v>
      </c>
      <c r="E195" s="808">
        <f t="shared" si="14"/>
        <v>-25.326375388792549</v>
      </c>
      <c r="F195" s="431" t="s">
        <v>31</v>
      </c>
      <c r="G195" s="431"/>
      <c r="H195" s="829">
        <f t="shared" si="10"/>
        <v>115.48546173901956</v>
      </c>
      <c r="I195" s="818"/>
      <c r="J195" s="817"/>
      <c r="K195" s="814">
        <v>680</v>
      </c>
      <c r="L195" s="916">
        <f t="shared" si="13"/>
        <v>8.9354652068887208E-7</v>
      </c>
      <c r="M195" s="917">
        <f t="shared" si="19"/>
        <v>0.89354652068887208</v>
      </c>
      <c r="N195" s="917">
        <f t="shared" si="17"/>
        <v>2.93334038268619E-3</v>
      </c>
      <c r="O195" s="808">
        <f t="shared" si="15"/>
        <v>-25.326375388792549</v>
      </c>
      <c r="P195" s="431" t="s">
        <v>31</v>
      </c>
      <c r="Q195" s="431"/>
      <c r="R195" s="816">
        <f t="shared" si="11"/>
        <v>68.242829826227265</v>
      </c>
      <c r="S195" s="818"/>
      <c r="T195" s="817"/>
      <c r="U195" s="1"/>
      <c r="V195" s="1"/>
      <c r="W195" s="1"/>
      <c r="X195" s="1"/>
      <c r="Y195" s="1"/>
      <c r="Z195" s="1"/>
      <c r="AA195" s="1"/>
    </row>
    <row r="196" spans="1:27">
      <c r="A196" s="833">
        <v>690</v>
      </c>
      <c r="B196" s="918">
        <f t="shared" si="12"/>
        <v>5.2509976895610143E-7</v>
      </c>
      <c r="C196" s="919">
        <f t="shared" si="18"/>
        <v>0.52509976895610144</v>
      </c>
      <c r="D196" s="919">
        <f t="shared" si="16"/>
        <v>1.7238009678898891E-3</v>
      </c>
      <c r="E196" s="808">
        <f t="shared" si="14"/>
        <v>-27.635128797741245</v>
      </c>
      <c r="F196" s="431" t="s">
        <v>31</v>
      </c>
      <c r="G196" s="431"/>
      <c r="H196" s="829">
        <f t="shared" si="10"/>
        <v>117.18377735282867</v>
      </c>
      <c r="I196" s="818"/>
      <c r="J196" s="817"/>
      <c r="K196" s="814">
        <v>690</v>
      </c>
      <c r="L196" s="916">
        <f t="shared" si="13"/>
        <v>5.2509976895610143E-7</v>
      </c>
      <c r="M196" s="917">
        <f t="shared" si="19"/>
        <v>0.52509976895610144</v>
      </c>
      <c r="N196" s="917">
        <f t="shared" si="17"/>
        <v>1.7238009678898891E-3</v>
      </c>
      <c r="O196" s="808">
        <f t="shared" si="15"/>
        <v>-27.635128797741245</v>
      </c>
      <c r="P196" s="431" t="s">
        <v>31</v>
      </c>
      <c r="Q196" s="431"/>
      <c r="R196" s="816">
        <f t="shared" si="11"/>
        <v>69.246400853083543</v>
      </c>
      <c r="S196" s="818"/>
      <c r="T196" s="817"/>
      <c r="U196" s="1"/>
      <c r="V196" s="1"/>
      <c r="W196" s="1"/>
      <c r="X196" s="1"/>
      <c r="Y196" s="1"/>
      <c r="Z196" s="1"/>
      <c r="AA196" s="1"/>
    </row>
    <row r="197" spans="1:27">
      <c r="A197" s="833">
        <v>700</v>
      </c>
      <c r="B197" s="918">
        <f t="shared" si="12"/>
        <v>2.3873016008267562E-7</v>
      </c>
      <c r="C197" s="919">
        <f t="shared" si="18"/>
        <v>0.23873016008267561</v>
      </c>
      <c r="D197" s="919">
        <f t="shared" si="16"/>
        <v>7.8370493636501274E-4</v>
      </c>
      <c r="E197" s="808">
        <f t="shared" si="14"/>
        <v>-31.058474177091306</v>
      </c>
      <c r="F197" s="431" t="s">
        <v>31</v>
      </c>
      <c r="G197" s="431"/>
      <c r="H197" s="829">
        <f t="shared" si="10"/>
        <v>118.88209296663777</v>
      </c>
      <c r="I197" s="818"/>
      <c r="J197" s="817"/>
      <c r="K197" s="814">
        <v>700</v>
      </c>
      <c r="L197" s="916">
        <f t="shared" si="13"/>
        <v>2.3873016008267562E-7</v>
      </c>
      <c r="M197" s="917">
        <f t="shared" si="19"/>
        <v>0.23873016008267561</v>
      </c>
      <c r="N197" s="917">
        <f t="shared" si="17"/>
        <v>7.8370493636501274E-4</v>
      </c>
      <c r="O197" s="808">
        <f t="shared" si="15"/>
        <v>-31.058474177091306</v>
      </c>
      <c r="P197" s="431" t="s">
        <v>31</v>
      </c>
      <c r="Q197" s="431"/>
      <c r="R197" s="816">
        <f t="shared" si="11"/>
        <v>70.249971879939821</v>
      </c>
      <c r="S197" s="818"/>
      <c r="T197" s="817"/>
      <c r="U197" s="1"/>
      <c r="V197" s="1"/>
      <c r="W197" s="1"/>
      <c r="X197" s="1"/>
      <c r="Y197" s="1"/>
      <c r="Z197" s="1"/>
      <c r="AA197" s="1"/>
    </row>
    <row r="198" spans="1:27">
      <c r="A198" s="833">
        <v>710</v>
      </c>
      <c r="B198" s="918">
        <f t="shared" si="12"/>
        <v>5.981688079160069E-8</v>
      </c>
      <c r="C198" s="919">
        <f t="shared" si="18"/>
        <v>5.9816880791600691E-2</v>
      </c>
      <c r="D198" s="919">
        <f t="shared" si="16"/>
        <v>1.9636724885578006E-4</v>
      </c>
      <c r="E198" s="808">
        <f t="shared" si="14"/>
        <v>-37.069309443865997</v>
      </c>
      <c r="F198" s="431" t="s">
        <v>31</v>
      </c>
      <c r="G198" s="431"/>
      <c r="H198" s="829">
        <f t="shared" si="10"/>
        <v>120.58040858044689</v>
      </c>
      <c r="I198" s="818"/>
      <c r="J198" s="817"/>
      <c r="K198" s="814">
        <v>710</v>
      </c>
      <c r="L198" s="916">
        <f t="shared" si="13"/>
        <v>5.981688079160069E-8</v>
      </c>
      <c r="M198" s="917">
        <f t="shared" si="19"/>
        <v>5.9816880791600691E-2</v>
      </c>
      <c r="N198" s="917">
        <f t="shared" si="17"/>
        <v>1.9636724885578006E-4</v>
      </c>
      <c r="O198" s="808">
        <f t="shared" si="15"/>
        <v>-37.069309443865997</v>
      </c>
      <c r="P198" s="431" t="s">
        <v>31</v>
      </c>
      <c r="Q198" s="431"/>
      <c r="R198" s="816">
        <f t="shared" si="11"/>
        <v>71.253542906796113</v>
      </c>
      <c r="S198" s="818"/>
      <c r="T198" s="817"/>
      <c r="U198" s="1"/>
      <c r="V198" s="1"/>
      <c r="W198" s="1"/>
      <c r="X198" s="1"/>
      <c r="Y198" s="1"/>
      <c r="Z198" s="1"/>
      <c r="AA198" s="1"/>
    </row>
    <row r="199" spans="1:27">
      <c r="A199" s="833">
        <v>720</v>
      </c>
      <c r="B199" s="918">
        <f t="shared" si="12"/>
        <v>4.6326812856943794E-37</v>
      </c>
      <c r="C199" s="919">
        <f t="shared" si="18"/>
        <v>4.6326812856943792E-31</v>
      </c>
      <c r="D199" s="919">
        <f t="shared" si="16"/>
        <v>1.5208196530120668E-33</v>
      </c>
      <c r="E199" s="809">
        <f t="shared" si="14"/>
        <v>-328.17922283873054</v>
      </c>
      <c r="F199" s="431" t="s">
        <v>31</v>
      </c>
      <c r="G199" s="431"/>
      <c r="H199" s="829">
        <f t="shared" si="10"/>
        <v>122.278724194256</v>
      </c>
      <c r="I199" s="894" t="s">
        <v>737</v>
      </c>
      <c r="J199" s="893"/>
      <c r="K199" s="814">
        <v>720</v>
      </c>
      <c r="L199" s="916">
        <f t="shared" si="13"/>
        <v>4.6326812856943794E-37</v>
      </c>
      <c r="M199" s="917">
        <f t="shared" si="19"/>
        <v>4.6326812856943792E-31</v>
      </c>
      <c r="N199" s="917">
        <f t="shared" si="17"/>
        <v>1.5208196530120668E-33</v>
      </c>
      <c r="O199" s="809">
        <f t="shared" si="15"/>
        <v>-328.17922283873054</v>
      </c>
      <c r="P199" s="431" t="s">
        <v>31</v>
      </c>
      <c r="Q199" s="431"/>
      <c r="R199" s="816">
        <f t="shared" si="11"/>
        <v>72.257113933652391</v>
      </c>
      <c r="S199" s="894" t="s">
        <v>737</v>
      </c>
      <c r="T199" s="893"/>
      <c r="U199" s="1"/>
      <c r="V199" s="1"/>
      <c r="W199" s="1"/>
      <c r="X199" s="1"/>
      <c r="Y199" s="1"/>
      <c r="Z199" s="1"/>
      <c r="AA199" s="1"/>
    </row>
    <row r="200" spans="1:27">
      <c r="A200" s="833">
        <v>730</v>
      </c>
      <c r="B200" s="918">
        <f t="shared" si="12"/>
        <v>5.6584142629096589E-8</v>
      </c>
      <c r="C200" s="919">
        <f t="shared" si="18"/>
        <v>5.6584142629096591E-2</v>
      </c>
      <c r="D200" s="919">
        <f t="shared" si="16"/>
        <v>1.8575479479864446E-4</v>
      </c>
      <c r="E200" s="808">
        <f t="shared" si="14"/>
        <v>-37.310599671893655</v>
      </c>
      <c r="F200" s="431" t="s">
        <v>31</v>
      </c>
      <c r="G200" s="431"/>
      <c r="H200" s="829">
        <f t="shared" si="10"/>
        <v>123.9770398080651</v>
      </c>
      <c r="I200" s="818"/>
      <c r="J200" s="817"/>
      <c r="K200" s="814">
        <v>730</v>
      </c>
      <c r="L200" s="916">
        <f t="shared" si="13"/>
        <v>5.6584142629096589E-8</v>
      </c>
      <c r="M200" s="917">
        <f t="shared" si="19"/>
        <v>5.6584142629096591E-2</v>
      </c>
      <c r="N200" s="917">
        <f t="shared" si="17"/>
        <v>1.8575479479864446E-4</v>
      </c>
      <c r="O200" s="808">
        <f t="shared" si="15"/>
        <v>-37.310599671893655</v>
      </c>
      <c r="P200" s="431" t="s">
        <v>31</v>
      </c>
      <c r="Q200" s="431"/>
      <c r="R200" s="816">
        <f t="shared" si="11"/>
        <v>73.260684960508669</v>
      </c>
      <c r="S200" s="818"/>
      <c r="T200" s="817"/>
      <c r="U200" s="1"/>
      <c r="V200" s="1"/>
      <c r="W200" s="1"/>
      <c r="X200" s="1"/>
      <c r="Y200" s="1"/>
      <c r="Z200" s="1"/>
      <c r="AA200" s="1"/>
    </row>
    <row r="201" spans="1:27">
      <c r="A201" s="833">
        <v>740</v>
      </c>
      <c r="B201" s="918">
        <f t="shared" si="12"/>
        <v>2.1361902564008473E-7</v>
      </c>
      <c r="C201" s="919">
        <f t="shared" si="18"/>
        <v>0.21361902564008473</v>
      </c>
      <c r="D201" s="919">
        <f t="shared" si="16"/>
        <v>7.0126993940623468E-4</v>
      </c>
      <c r="E201" s="808">
        <f t="shared" si="14"/>
        <v>-31.541147771425713</v>
      </c>
      <c r="F201" s="431" t="s">
        <v>31</v>
      </c>
      <c r="G201" s="431"/>
      <c r="H201" s="829">
        <f t="shared" si="10"/>
        <v>125.67535542187423</v>
      </c>
      <c r="I201" s="818"/>
      <c r="J201" s="817"/>
      <c r="K201" s="814">
        <v>740</v>
      </c>
      <c r="L201" s="916">
        <f t="shared" si="13"/>
        <v>2.1361902564008473E-7</v>
      </c>
      <c r="M201" s="917">
        <f t="shared" si="19"/>
        <v>0.21361902564008473</v>
      </c>
      <c r="N201" s="917">
        <f t="shared" si="17"/>
        <v>7.0126993940623468E-4</v>
      </c>
      <c r="O201" s="808">
        <f t="shared" si="15"/>
        <v>-31.541147771425713</v>
      </c>
      <c r="P201" s="431" t="s">
        <v>31</v>
      </c>
      <c r="Q201" s="431"/>
      <c r="R201" s="816">
        <f t="shared" si="11"/>
        <v>74.264255987364947</v>
      </c>
      <c r="S201" s="818"/>
      <c r="T201" s="817"/>
      <c r="U201" s="1"/>
      <c r="V201" s="1"/>
      <c r="W201" s="1"/>
      <c r="X201" s="1"/>
      <c r="Y201" s="1"/>
      <c r="Z201" s="1"/>
      <c r="AA201" s="1"/>
    </row>
    <row r="202" spans="1:27">
      <c r="A202" s="833">
        <v>750</v>
      </c>
      <c r="B202" s="918">
        <f t="shared" si="12"/>
        <v>4.4444444444444274E-7</v>
      </c>
      <c r="C202" s="919">
        <f t="shared" si="18"/>
        <v>0.44444444444444275</v>
      </c>
      <c r="D202" s="919">
        <f t="shared" si="16"/>
        <v>1.4590251392219971E-3</v>
      </c>
      <c r="E202" s="808">
        <f t="shared" si="14"/>
        <v>-28.359372250830155</v>
      </c>
      <c r="F202" s="431" t="s">
        <v>31</v>
      </c>
      <c r="G202" s="431"/>
      <c r="H202" s="829">
        <f t="shared" si="10"/>
        <v>127.37367103568334</v>
      </c>
      <c r="I202" s="818"/>
      <c r="J202" s="817"/>
      <c r="K202" s="814">
        <v>750</v>
      </c>
      <c r="L202" s="916">
        <f t="shared" si="13"/>
        <v>4.4444444444444274E-7</v>
      </c>
      <c r="M202" s="917">
        <f t="shared" si="19"/>
        <v>0.44444444444444275</v>
      </c>
      <c r="N202" s="917">
        <f t="shared" si="17"/>
        <v>1.4590251392219971E-3</v>
      </c>
      <c r="O202" s="808">
        <f t="shared" si="15"/>
        <v>-28.359372250830155</v>
      </c>
      <c r="P202" s="431" t="s">
        <v>31</v>
      </c>
      <c r="Q202" s="431"/>
      <c r="R202" s="816">
        <f t="shared" si="11"/>
        <v>75.26782701422124</v>
      </c>
      <c r="S202" s="818"/>
      <c r="T202" s="817"/>
      <c r="U202" s="1"/>
      <c r="V202" s="1"/>
      <c r="W202" s="1"/>
      <c r="X202" s="1"/>
      <c r="Y202" s="1"/>
      <c r="Z202" s="1"/>
      <c r="AA202" s="1"/>
    </row>
    <row r="203" spans="1:27">
      <c r="A203" s="833">
        <v>760</v>
      </c>
      <c r="B203" s="918">
        <f t="shared" si="12"/>
        <v>7.1533225617474943E-7</v>
      </c>
      <c r="C203" s="919">
        <f t="shared" si="18"/>
        <v>0.71533225617474938</v>
      </c>
      <c r="D203" s="919">
        <f t="shared" si="16"/>
        <v>2.3482974254745441E-3</v>
      </c>
      <c r="E203" s="808">
        <f t="shared" si="14"/>
        <v>-26.292468980283637</v>
      </c>
      <c r="F203" s="431" t="s">
        <v>31</v>
      </c>
      <c r="G203" s="431"/>
      <c r="H203" s="829">
        <f t="shared" si="10"/>
        <v>129.07198664949246</v>
      </c>
      <c r="I203" s="818"/>
      <c r="J203" s="817"/>
      <c r="K203" s="814">
        <v>760</v>
      </c>
      <c r="L203" s="916">
        <f t="shared" si="13"/>
        <v>7.1533225617474943E-7</v>
      </c>
      <c r="M203" s="917">
        <f t="shared" si="19"/>
        <v>0.71533225617474938</v>
      </c>
      <c r="N203" s="917">
        <f t="shared" si="17"/>
        <v>2.3482974254745441E-3</v>
      </c>
      <c r="O203" s="808">
        <f t="shared" si="15"/>
        <v>-26.292468980283637</v>
      </c>
      <c r="P203" s="431" t="s">
        <v>31</v>
      </c>
      <c r="Q203" s="431"/>
      <c r="R203" s="816">
        <f t="shared" si="11"/>
        <v>76.271398041077532</v>
      </c>
      <c r="S203" s="818"/>
      <c r="T203" s="817"/>
      <c r="U203" s="1"/>
      <c r="V203" s="1"/>
      <c r="W203" s="1"/>
      <c r="X203" s="1"/>
      <c r="Y203" s="1"/>
      <c r="Z203" s="1"/>
      <c r="AA203" s="1"/>
    </row>
    <row r="204" spans="1:27">
      <c r="A204" s="833">
        <v>770</v>
      </c>
      <c r="B204" s="918">
        <f t="shared" si="12"/>
        <v>9.8975221594445192E-7</v>
      </c>
      <c r="C204" s="919">
        <f t="shared" si="18"/>
        <v>0.98975221594445195</v>
      </c>
      <c r="D204" s="919">
        <f t="shared" si="16"/>
        <v>3.2491650704931894E-3</v>
      </c>
      <c r="E204" s="808">
        <f t="shared" si="14"/>
        <v>-24.882282242095762</v>
      </c>
      <c r="F204" s="431" t="s">
        <v>31</v>
      </c>
      <c r="G204" s="431"/>
      <c r="H204" s="829">
        <f t="shared" si="10"/>
        <v>130.77030226330157</v>
      </c>
      <c r="I204" s="818"/>
      <c r="J204" s="817"/>
      <c r="K204" s="814">
        <v>770</v>
      </c>
      <c r="L204" s="916">
        <f t="shared" si="13"/>
        <v>9.8975221594445192E-7</v>
      </c>
      <c r="M204" s="917">
        <f t="shared" si="19"/>
        <v>0.98975221594445195</v>
      </c>
      <c r="N204" s="917">
        <f t="shared" si="17"/>
        <v>3.2491650704931894E-3</v>
      </c>
      <c r="O204" s="808">
        <f t="shared" si="15"/>
        <v>-24.882282242095762</v>
      </c>
      <c r="P204" s="431" t="s">
        <v>31</v>
      </c>
      <c r="Q204" s="431"/>
      <c r="R204" s="816">
        <f t="shared" si="11"/>
        <v>77.27496906793381</v>
      </c>
      <c r="S204" s="818"/>
      <c r="T204" s="817"/>
      <c r="U204" s="1"/>
      <c r="V204" s="1"/>
      <c r="W204" s="1"/>
      <c r="X204" s="1"/>
      <c r="Y204" s="1"/>
      <c r="Z204" s="1"/>
      <c r="AA204" s="1"/>
    </row>
    <row r="205" spans="1:27">
      <c r="A205" s="833">
        <v>780</v>
      </c>
      <c r="B205" s="918">
        <f t="shared" si="12"/>
        <v>1.2327416173570021E-6</v>
      </c>
      <c r="C205" s="919">
        <f t="shared" si="18"/>
        <v>1.2327416173570021</v>
      </c>
      <c r="D205" s="919">
        <f t="shared" si="16"/>
        <v>4.0468522722503777E-3</v>
      </c>
      <c r="E205" s="808">
        <f t="shared" si="14"/>
        <v>-23.928826489609122</v>
      </c>
      <c r="F205" s="431" t="s">
        <v>31</v>
      </c>
      <c r="G205" s="431"/>
      <c r="H205" s="829">
        <f t="shared" si="10"/>
        <v>132.46861787711066</v>
      </c>
      <c r="I205" s="818"/>
      <c r="J205" s="817"/>
      <c r="K205" s="814">
        <v>780</v>
      </c>
      <c r="L205" s="916">
        <f t="shared" si="13"/>
        <v>1.2327416173570021E-6</v>
      </c>
      <c r="M205" s="917">
        <f t="shared" si="19"/>
        <v>1.2327416173570021</v>
      </c>
      <c r="N205" s="917">
        <f t="shared" si="17"/>
        <v>4.0468522722503777E-3</v>
      </c>
      <c r="O205" s="808">
        <f t="shared" si="15"/>
        <v>-23.928826489609122</v>
      </c>
      <c r="P205" s="431" t="s">
        <v>31</v>
      </c>
      <c r="Q205" s="431"/>
      <c r="R205" s="816">
        <f t="shared" si="11"/>
        <v>78.278540094790088</v>
      </c>
      <c r="S205" s="818"/>
      <c r="T205" s="817"/>
      <c r="U205" s="1"/>
      <c r="V205" s="1"/>
      <c r="W205" s="1"/>
      <c r="X205" s="1"/>
      <c r="Y205" s="1"/>
      <c r="Z205" s="1"/>
      <c r="AA205" s="1"/>
    </row>
    <row r="206" spans="1:27">
      <c r="A206" s="833">
        <v>790</v>
      </c>
      <c r="B206" s="918">
        <f t="shared" si="12"/>
        <v>1.4148729715742491E-6</v>
      </c>
      <c r="C206" s="919">
        <f t="shared" si="18"/>
        <v>1.414872971574249</v>
      </c>
      <c r="D206" s="919">
        <f t="shared" si="16"/>
        <v>4.6447542772482765E-3</v>
      </c>
      <c r="E206" s="808">
        <f t="shared" si="14"/>
        <v>-23.330372566666618</v>
      </c>
      <c r="F206" s="431" t="s">
        <v>31</v>
      </c>
      <c r="G206" s="431"/>
      <c r="H206" s="829">
        <f t="shared" si="10"/>
        <v>134.16693349091977</v>
      </c>
      <c r="I206" s="818"/>
      <c r="J206" s="817"/>
      <c r="K206" s="814">
        <v>790</v>
      </c>
      <c r="L206" s="916">
        <f t="shared" si="13"/>
        <v>1.4148729715742491E-6</v>
      </c>
      <c r="M206" s="917">
        <f t="shared" si="19"/>
        <v>1.414872971574249</v>
      </c>
      <c r="N206" s="917">
        <f t="shared" si="17"/>
        <v>4.6447542772482765E-3</v>
      </c>
      <c r="O206" s="808">
        <f t="shared" si="15"/>
        <v>-23.330372566666618</v>
      </c>
      <c r="P206" s="431" t="s">
        <v>31</v>
      </c>
      <c r="Q206" s="431"/>
      <c r="R206" s="816">
        <f t="shared" si="11"/>
        <v>79.282111121646381</v>
      </c>
      <c r="S206" s="818"/>
      <c r="T206" s="817"/>
      <c r="U206" s="1"/>
      <c r="V206" s="1"/>
      <c r="W206" s="1"/>
      <c r="X206" s="1"/>
      <c r="Y206" s="1"/>
      <c r="Z206" s="1"/>
      <c r="AA206" s="1"/>
    </row>
    <row r="207" spans="1:27">
      <c r="A207" s="833">
        <v>800</v>
      </c>
      <c r="B207" s="918">
        <f t="shared" si="12"/>
        <v>1.5153848599889908E-6</v>
      </c>
      <c r="C207" s="919">
        <f t="shared" si="18"/>
        <v>1.5153848599889908</v>
      </c>
      <c r="D207" s="919">
        <f t="shared" si="16"/>
        <v>4.9747153642207926E-3</v>
      </c>
      <c r="E207" s="808">
        <f t="shared" si="14"/>
        <v>-23.032317630156676</v>
      </c>
      <c r="F207" s="431" t="s">
        <v>31</v>
      </c>
      <c r="G207" s="431"/>
      <c r="H207" s="829">
        <f t="shared" si="10"/>
        <v>135.86524910472889</v>
      </c>
      <c r="I207" s="818"/>
      <c r="J207" s="817"/>
      <c r="K207" s="814">
        <v>800</v>
      </c>
      <c r="L207" s="916">
        <f t="shared" si="13"/>
        <v>1.5153848599889908E-6</v>
      </c>
      <c r="M207" s="917">
        <f t="shared" si="19"/>
        <v>1.5153848599889908</v>
      </c>
      <c r="N207" s="917">
        <f t="shared" si="17"/>
        <v>4.9747153642207926E-3</v>
      </c>
      <c r="O207" s="808">
        <f t="shared" si="15"/>
        <v>-23.032317630156676</v>
      </c>
      <c r="P207" s="431" t="s">
        <v>31</v>
      </c>
      <c r="Q207" s="431"/>
      <c r="R207" s="816">
        <f t="shared" si="11"/>
        <v>80.285682148502659</v>
      </c>
      <c r="S207" s="818"/>
      <c r="T207" s="817"/>
      <c r="U207" s="1"/>
      <c r="V207" s="1"/>
      <c r="W207" s="1"/>
      <c r="X207" s="1"/>
      <c r="Y207" s="1"/>
      <c r="Z207" s="1"/>
      <c r="AA207" s="1"/>
    </row>
    <row r="208" spans="1:27">
      <c r="A208" s="833">
        <v>810</v>
      </c>
      <c r="B208" s="918">
        <f t="shared" si="12"/>
        <v>1.5241579027587259E-6</v>
      </c>
      <c r="C208" s="919">
        <f t="shared" si="18"/>
        <v>1.5241579027587258</v>
      </c>
      <c r="D208" s="919">
        <f t="shared" si="16"/>
        <v>5.003515566604947E-3</v>
      </c>
      <c r="E208" s="891">
        <f t="shared" si="14"/>
        <v>-23.007247447289512</v>
      </c>
      <c r="F208" s="431" t="s">
        <v>31</v>
      </c>
      <c r="G208" s="431"/>
      <c r="H208" s="829">
        <f t="shared" si="10"/>
        <v>137.563564718538</v>
      </c>
      <c r="I208" s="881" t="s">
        <v>738</v>
      </c>
      <c r="J208" s="882"/>
      <c r="K208" s="814">
        <v>810</v>
      </c>
      <c r="L208" s="916">
        <f t="shared" si="13"/>
        <v>1.5241579027587259E-6</v>
      </c>
      <c r="M208" s="917">
        <f t="shared" si="19"/>
        <v>1.5241579027587258</v>
      </c>
      <c r="N208" s="917">
        <f t="shared" si="17"/>
        <v>5.003515566604947E-3</v>
      </c>
      <c r="O208" s="891">
        <f t="shared" si="15"/>
        <v>-23.007247447289512</v>
      </c>
      <c r="P208" s="431" t="s">
        <v>31</v>
      </c>
      <c r="Q208" s="431"/>
      <c r="R208" s="816">
        <f t="shared" si="11"/>
        <v>81.289253175358937</v>
      </c>
      <c r="S208" s="881" t="s">
        <v>738</v>
      </c>
      <c r="T208" s="882"/>
      <c r="U208" s="1"/>
      <c r="V208" s="1"/>
      <c r="W208" s="1"/>
      <c r="X208" s="1"/>
      <c r="Y208" s="1"/>
      <c r="Z208" s="1"/>
      <c r="AA208" s="1"/>
    </row>
    <row r="209" spans="1:27">
      <c r="A209" s="833">
        <v>820</v>
      </c>
      <c r="B209" s="918">
        <f t="shared" si="12"/>
        <v>1.4423651255100455E-6</v>
      </c>
      <c r="C209" s="919">
        <f t="shared" si="18"/>
        <v>1.4423651255100456</v>
      </c>
      <c r="D209" s="919">
        <f t="shared" si="16"/>
        <v>4.7350057006265754E-3</v>
      </c>
      <c r="E209" s="808">
        <f t="shared" si="14"/>
        <v>-23.246794937992135</v>
      </c>
      <c r="F209" s="431" t="s">
        <v>31</v>
      </c>
      <c r="G209" s="431"/>
      <c r="H209" s="829">
        <f t="shared" si="10"/>
        <v>139.26188033234712</v>
      </c>
      <c r="I209" s="818"/>
      <c r="J209" s="817"/>
      <c r="K209" s="814">
        <v>820</v>
      </c>
      <c r="L209" s="916">
        <f t="shared" si="13"/>
        <v>1.4423651255100455E-6</v>
      </c>
      <c r="M209" s="917">
        <f t="shared" si="19"/>
        <v>1.4423651255100456</v>
      </c>
      <c r="N209" s="917">
        <f t="shared" si="17"/>
        <v>4.7350057006265754E-3</v>
      </c>
      <c r="O209" s="808">
        <f t="shared" si="15"/>
        <v>-23.246794937992135</v>
      </c>
      <c r="P209" s="431" t="s">
        <v>31</v>
      </c>
      <c r="Q209" s="431"/>
      <c r="R209" s="816">
        <f t="shared" si="11"/>
        <v>82.292824202215229</v>
      </c>
      <c r="S209" s="818"/>
      <c r="T209" s="817"/>
      <c r="U209" s="1"/>
      <c r="V209" s="1"/>
      <c r="W209" s="1"/>
      <c r="X209" s="1"/>
      <c r="Y209" s="1"/>
      <c r="Z209" s="1"/>
      <c r="AA209" s="1"/>
    </row>
    <row r="210" spans="1:27">
      <c r="A210" s="833">
        <v>830</v>
      </c>
      <c r="B210" s="918">
        <f t="shared" si="12"/>
        <v>1.281785776686732E-6</v>
      </c>
      <c r="C210" s="919">
        <f t="shared" si="18"/>
        <v>1.281785776686732</v>
      </c>
      <c r="D210" s="919">
        <f t="shared" si="16"/>
        <v>4.2078547603870697E-3</v>
      </c>
      <c r="E210" s="808">
        <f t="shared" si="14"/>
        <v>-23.75939258837926</v>
      </c>
      <c r="F210" s="431" t="s">
        <v>31</v>
      </c>
      <c r="G210" s="431"/>
      <c r="H210" s="829">
        <f t="shared" si="10"/>
        <v>140.9601959461562</v>
      </c>
      <c r="I210" s="818"/>
      <c r="J210" s="817"/>
      <c r="K210" s="814">
        <v>830</v>
      </c>
      <c r="L210" s="916">
        <f t="shared" si="13"/>
        <v>1.281785776686732E-6</v>
      </c>
      <c r="M210" s="917">
        <f t="shared" si="19"/>
        <v>1.281785776686732</v>
      </c>
      <c r="N210" s="917">
        <f t="shared" si="17"/>
        <v>4.2078547603870697E-3</v>
      </c>
      <c r="O210" s="808">
        <f t="shared" si="15"/>
        <v>-23.75939258837926</v>
      </c>
      <c r="P210" s="431" t="s">
        <v>31</v>
      </c>
      <c r="Q210" s="431"/>
      <c r="R210" s="816">
        <f t="shared" si="11"/>
        <v>83.296395229071507</v>
      </c>
      <c r="S210" s="818"/>
      <c r="T210" s="817"/>
      <c r="U210" s="1"/>
      <c r="V210" s="1"/>
      <c r="W210" s="1"/>
      <c r="X210" s="1"/>
      <c r="Y210" s="1"/>
      <c r="Z210" s="1"/>
      <c r="AA210" s="1"/>
    </row>
    <row r="211" spans="1:27">
      <c r="A211" s="833">
        <v>840</v>
      </c>
      <c r="B211" s="918">
        <f t="shared" si="12"/>
        <v>1.0629251700680265E-6</v>
      </c>
      <c r="C211" s="919">
        <f t="shared" si="18"/>
        <v>1.0629251700680264</v>
      </c>
      <c r="D211" s="919">
        <f t="shared" si="16"/>
        <v>3.4893777245424145E-3</v>
      </c>
      <c r="E211" s="808">
        <f t="shared" si="14"/>
        <v>-24.572520157037154</v>
      </c>
      <c r="F211" s="431" t="s">
        <v>31</v>
      </c>
      <c r="G211" s="431"/>
      <c r="H211" s="829">
        <f t="shared" si="10"/>
        <v>142.65851155996535</v>
      </c>
      <c r="I211" s="818"/>
      <c r="J211" s="817"/>
      <c r="K211" s="814">
        <v>840</v>
      </c>
      <c r="L211" s="916">
        <f t="shared" si="13"/>
        <v>1.0629251700680265E-6</v>
      </c>
      <c r="M211" s="917">
        <f t="shared" si="19"/>
        <v>1.0629251700680264</v>
      </c>
      <c r="N211" s="917">
        <f t="shared" si="17"/>
        <v>3.4893777245424145E-3</v>
      </c>
      <c r="O211" s="808">
        <f t="shared" si="15"/>
        <v>-24.572520157037154</v>
      </c>
      <c r="P211" s="431" t="s">
        <v>31</v>
      </c>
      <c r="Q211" s="431"/>
      <c r="R211" s="816">
        <f t="shared" si="11"/>
        <v>84.299966255927785</v>
      </c>
      <c r="S211" s="818"/>
      <c r="T211" s="817"/>
      <c r="U211" s="1"/>
      <c r="V211" s="1"/>
      <c r="W211" s="1"/>
      <c r="X211" s="1"/>
      <c r="Y211" s="1"/>
      <c r="Z211" s="1"/>
      <c r="AA211" s="1"/>
    </row>
    <row r="212" spans="1:27">
      <c r="A212" s="835"/>
      <c r="B212" s="834"/>
      <c r="C212" s="836"/>
      <c r="D212" s="836"/>
      <c r="E212" s="810"/>
      <c r="F212" s="818"/>
      <c r="G212" s="818"/>
      <c r="H212" s="830"/>
      <c r="I212" s="818"/>
      <c r="J212" s="817"/>
      <c r="K212" s="819"/>
      <c r="L212" s="815"/>
      <c r="M212" s="820"/>
      <c r="N212" s="820"/>
      <c r="O212" s="810"/>
      <c r="P212" s="818"/>
      <c r="Q212" s="818"/>
      <c r="R212" s="818"/>
      <c r="S212" s="818"/>
      <c r="T212" s="817"/>
      <c r="U212" s="1"/>
      <c r="V212" s="1"/>
      <c r="W212" s="1"/>
      <c r="X212" s="1"/>
      <c r="Y212" s="1"/>
      <c r="Z212" s="1"/>
      <c r="AA212" s="1"/>
    </row>
    <row r="213" spans="1:27" ht="14" thickBot="1">
      <c r="A213" s="837"/>
      <c r="B213" s="838"/>
      <c r="C213" s="839"/>
      <c r="D213" s="839"/>
      <c r="E213" s="824"/>
      <c r="F213" s="825"/>
      <c r="G213" s="825"/>
      <c r="H213" s="831"/>
      <c r="I213" s="825"/>
      <c r="J213" s="826"/>
      <c r="K213" s="821"/>
      <c r="L213" s="822"/>
      <c r="M213" s="823"/>
      <c r="N213" s="823"/>
      <c r="O213" s="824"/>
      <c r="P213" s="825"/>
      <c r="Q213" s="825"/>
      <c r="R213" s="825"/>
      <c r="S213" s="825"/>
      <c r="T213" s="826"/>
      <c r="U213" s="1"/>
      <c r="V213" s="1"/>
      <c r="W213" s="1"/>
      <c r="X213" s="1"/>
      <c r="Y213" s="1"/>
      <c r="Z213" s="1"/>
      <c r="AA213" s="1"/>
    </row>
    <row r="214" spans="1:27">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row>
    <row r="215" spans="1:27">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row>
    <row r="216" spans="1:27">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row>
    <row r="217" spans="1:27">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row>
    <row r="218" spans="1:27">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row>
    <row r="219" spans="1:27">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row>
    <row r="220" spans="1:27">
      <c r="A220" s="1"/>
      <c r="B220" s="1"/>
      <c r="C220" s="1"/>
      <c r="D220" s="1"/>
      <c r="E220" s="1"/>
      <c r="F220" s="1"/>
      <c r="G220" s="1"/>
      <c r="H220" s="1"/>
      <c r="I220" s="1"/>
      <c r="J220" s="1"/>
      <c r="K220" s="1"/>
      <c r="L220" s="1"/>
      <c r="M220" s="1"/>
      <c r="N220" s="1"/>
      <c r="O220" s="1"/>
      <c r="P220" s="1"/>
      <c r="Q220" s="1"/>
      <c r="R220" s="1"/>
      <c r="S220" s="1"/>
      <c r="T220" s="1"/>
      <c r="U220" s="1"/>
      <c r="V220" s="1"/>
      <c r="W220" s="347" t="s">
        <v>3</v>
      </c>
      <c r="X220" s="1"/>
      <c r="Y220" s="1"/>
      <c r="Z220" s="1"/>
      <c r="AA220" s="1"/>
    </row>
  </sheetData>
  <mergeCells count="12">
    <mergeCell ref="D15:E15"/>
    <mergeCell ref="J13:K13"/>
    <mergeCell ref="D17:E17"/>
    <mergeCell ref="I53:J53"/>
    <mergeCell ref="B90:C90"/>
    <mergeCell ref="H90:J90"/>
    <mergeCell ref="S119:T119"/>
    <mergeCell ref="H93:I93"/>
    <mergeCell ref="H96:I96"/>
    <mergeCell ref="H99:I99"/>
    <mergeCell ref="A116:J116"/>
    <mergeCell ref="K116:T116"/>
  </mergeCells>
  <phoneticPr fontId="0" type="noConversion"/>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 id="{D67A298F-B635-4414-809E-341DCA3A15D9}">
            <xm:f>$E119 = '4A-Orbit'!$K$36</xm:f>
            <x14:dxf>
              <fill>
                <patternFill>
                  <bgColor rgb="FFFFFF00"/>
                </patternFill>
              </fill>
            </x14:dxf>
          </x14:cfRule>
          <xm:sqref>E119:J211</xm:sqref>
        </x14:conditionalFormatting>
        <x14:conditionalFormatting xmlns:xm="http://schemas.microsoft.com/office/excel/2006/main">
          <x14:cfRule type="expression" priority="1" id="{F9E56BC1-AB61-4EA2-8DC6-1788AA2DBB35}">
            <xm:f>$O119 = '4A-Orbit'!$K$37</xm:f>
            <x14:dxf>
              <fill>
                <patternFill>
                  <bgColor rgb="FFFFFF00"/>
                </patternFill>
              </fill>
            </x14:dxf>
          </x14:cfRule>
          <xm:sqref>O119:T211</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FFF00"/>
  </sheetPr>
  <dimension ref="A1:AA200"/>
  <sheetViews>
    <sheetView topLeftCell="A43" zoomScaleNormal="100" workbookViewId="0">
      <selection activeCell="C73" sqref="C73"/>
    </sheetView>
  </sheetViews>
  <sheetFormatPr baseColWidth="10" defaultColWidth="8.83203125" defaultRowHeight="13"/>
  <cols>
    <col min="2" max="2" width="15.6640625" customWidth="1"/>
    <col min="5" max="5" width="11.33203125" customWidth="1"/>
    <col min="6" max="6" width="17.83203125" customWidth="1"/>
    <col min="10" max="10" width="10.5" customWidth="1"/>
    <col min="13" max="13" width="11.5" customWidth="1"/>
  </cols>
  <sheetData>
    <row r="1" spans="1:27" ht="19" thickBot="1">
      <c r="A1" s="712" t="s">
        <v>647</v>
      </c>
      <c r="B1" s="317" t="s">
        <v>580</v>
      </c>
      <c r="C1" s="16"/>
      <c r="D1" s="16"/>
      <c r="E1" s="16"/>
      <c r="F1" s="16"/>
      <c r="G1" s="16"/>
      <c r="H1" s="16"/>
      <c r="I1" s="16"/>
      <c r="J1" s="16"/>
      <c r="K1" s="16"/>
      <c r="L1" s="16"/>
      <c r="M1" s="16"/>
      <c r="N1" s="16"/>
      <c r="O1" s="16"/>
      <c r="P1" s="16"/>
      <c r="Q1" s="16"/>
      <c r="R1" s="16"/>
      <c r="S1" s="16"/>
      <c r="T1" s="16"/>
      <c r="U1" s="16"/>
      <c r="V1" s="16"/>
      <c r="W1" s="16"/>
      <c r="X1" s="16"/>
      <c r="Y1" s="16"/>
      <c r="Z1" s="16"/>
      <c r="AA1" s="17"/>
    </row>
    <row r="2" spans="1:27">
      <c r="A2" s="1"/>
      <c r="B2" s="1"/>
      <c r="C2" s="1"/>
      <c r="D2" s="1"/>
      <c r="E2" s="1"/>
      <c r="F2" s="1"/>
      <c r="G2" s="1"/>
      <c r="H2" s="1"/>
      <c r="I2" s="1"/>
      <c r="J2" s="1"/>
      <c r="K2" s="1"/>
      <c r="L2" s="1"/>
      <c r="M2" s="1"/>
      <c r="N2" s="1"/>
      <c r="O2" s="1"/>
      <c r="P2" s="1"/>
      <c r="Q2" s="1"/>
      <c r="R2" s="1"/>
      <c r="S2" s="1"/>
      <c r="T2" s="1"/>
      <c r="U2" s="1"/>
      <c r="V2" s="1"/>
      <c r="W2" s="1"/>
      <c r="X2" s="1"/>
      <c r="Y2" s="1"/>
      <c r="Z2" s="1"/>
      <c r="AA2" s="1"/>
    </row>
    <row r="3" spans="1:27" ht="14" thickBot="1">
      <c r="A3" s="1"/>
      <c r="B3" s="69" t="s">
        <v>3</v>
      </c>
      <c r="C3" s="1"/>
      <c r="D3" s="1"/>
      <c r="E3" s="1"/>
      <c r="F3" s="1"/>
      <c r="G3" s="1"/>
      <c r="H3" s="1"/>
      <c r="I3" s="1"/>
      <c r="J3" s="1"/>
      <c r="K3" s="1"/>
      <c r="L3" s="1"/>
      <c r="M3" s="1" t="s">
        <v>3</v>
      </c>
      <c r="N3" s="1"/>
      <c r="O3" s="1"/>
      <c r="P3" s="1"/>
      <c r="Q3" s="1"/>
      <c r="R3" s="1"/>
      <c r="S3" s="1"/>
      <c r="T3" s="1"/>
      <c r="U3" s="1"/>
      <c r="V3" s="1"/>
      <c r="W3" s="1"/>
      <c r="X3" s="1"/>
      <c r="Y3" s="1"/>
      <c r="Z3" s="1"/>
      <c r="AA3" s="1"/>
    </row>
    <row r="4" spans="1:27" ht="17" thickBot="1">
      <c r="A4" s="1"/>
      <c r="B4" s="1"/>
      <c r="C4" s="1020" t="s">
        <v>509</v>
      </c>
      <c r="D4" s="1021"/>
      <c r="E4" s="1022"/>
      <c r="F4" s="1"/>
      <c r="G4" s="94" t="s">
        <v>140</v>
      </c>
      <c r="H4" s="1"/>
      <c r="I4" s="1"/>
      <c r="J4" s="1"/>
      <c r="K4" s="1"/>
      <c r="L4" s="1"/>
      <c r="M4" s="1"/>
      <c r="N4" s="1"/>
      <c r="O4" s="1"/>
      <c r="P4" s="1"/>
      <c r="Q4" s="1"/>
      <c r="R4" s="1"/>
      <c r="S4" s="1"/>
      <c r="T4" s="1"/>
      <c r="U4" s="1"/>
      <c r="V4" s="1"/>
      <c r="W4" s="1"/>
      <c r="X4" s="1"/>
      <c r="Y4" s="1"/>
      <c r="Z4" s="1"/>
      <c r="AA4" s="1"/>
    </row>
    <row r="5" spans="1:27">
      <c r="A5" s="1"/>
      <c r="B5" s="1"/>
      <c r="C5" s="269" t="s">
        <v>3</v>
      </c>
      <c r="D5" s="1"/>
      <c r="E5" s="1"/>
      <c r="F5" s="1"/>
      <c r="G5" s="1"/>
      <c r="H5" s="1"/>
      <c r="I5" s="1"/>
      <c r="J5" s="1"/>
      <c r="K5" s="1"/>
      <c r="L5" s="1"/>
      <c r="M5" s="1"/>
      <c r="N5" s="1"/>
      <c r="O5" s="1"/>
      <c r="P5" s="1"/>
      <c r="Q5" s="1"/>
      <c r="R5" s="1"/>
      <c r="S5" s="1"/>
      <c r="T5" s="1"/>
      <c r="U5" s="1"/>
      <c r="V5" s="1"/>
      <c r="W5" s="1"/>
      <c r="X5" s="1"/>
      <c r="Y5" s="1"/>
      <c r="Z5" s="1"/>
      <c r="AA5" s="1"/>
    </row>
    <row r="6" spans="1:27" ht="14" thickBot="1">
      <c r="A6" s="1"/>
      <c r="B6" s="1"/>
      <c r="C6" s="234" t="s">
        <v>3</v>
      </c>
      <c r="D6" s="1"/>
      <c r="E6" s="1"/>
      <c r="F6" s="1"/>
      <c r="G6" s="1"/>
      <c r="H6" s="1"/>
      <c r="I6" s="1"/>
      <c r="J6" s="1"/>
      <c r="K6" s="1"/>
      <c r="L6" s="1"/>
      <c r="M6" s="1"/>
      <c r="N6" s="74" t="s">
        <v>146</v>
      </c>
      <c r="O6" s="1"/>
      <c r="P6" s="1"/>
      <c r="Q6" s="1"/>
      <c r="R6" s="1"/>
      <c r="S6" s="1"/>
      <c r="T6" s="1"/>
      <c r="U6" s="1"/>
      <c r="V6" s="1"/>
      <c r="W6" s="1"/>
      <c r="X6" s="1"/>
      <c r="Y6" s="1"/>
      <c r="Z6" s="1"/>
      <c r="AA6" s="1"/>
    </row>
    <row r="7" spans="1:27" ht="12.75" customHeight="1" thickBot="1">
      <c r="A7" s="1"/>
      <c r="B7" s="1"/>
      <c r="C7" s="1010" t="s">
        <v>148</v>
      </c>
      <c r="D7" s="1012"/>
      <c r="E7" s="1"/>
      <c r="F7" s="1"/>
      <c r="G7" s="1"/>
      <c r="H7" s="1"/>
      <c r="I7" s="1"/>
      <c r="J7" s="1"/>
      <c r="K7" s="1"/>
      <c r="L7" s="1"/>
      <c r="M7" s="110" t="s">
        <v>494</v>
      </c>
      <c r="N7" s="232">
        <v>0.4</v>
      </c>
      <c r="O7" s="1"/>
      <c r="P7" s="1"/>
      <c r="Q7" s="1"/>
      <c r="R7" s="1"/>
      <c r="S7" s="1"/>
      <c r="T7" s="1"/>
      <c r="U7" s="1"/>
      <c r="V7" s="1"/>
      <c r="W7" s="1"/>
      <c r="X7" s="1"/>
      <c r="Y7" s="1"/>
      <c r="Z7" s="1"/>
      <c r="AA7" s="1"/>
    </row>
    <row r="8" spans="1:27">
      <c r="A8" s="1"/>
      <c r="B8" s="1"/>
      <c r="C8" s="1"/>
      <c r="D8" s="1"/>
      <c r="E8" s="1"/>
      <c r="F8" s="1"/>
      <c r="G8" s="1"/>
      <c r="H8" s="1"/>
      <c r="I8" s="107" t="s">
        <v>143</v>
      </c>
      <c r="J8" s="1"/>
      <c r="K8" s="1"/>
      <c r="L8" s="1"/>
      <c r="M8" s="1"/>
      <c r="N8" s="1"/>
      <c r="O8" s="107"/>
      <c r="P8" s="1"/>
      <c r="Q8" s="1"/>
      <c r="R8" s="1"/>
      <c r="S8" s="1"/>
      <c r="T8" s="1"/>
      <c r="U8" s="1"/>
      <c r="V8" s="1"/>
      <c r="W8" s="1"/>
      <c r="X8" s="1"/>
      <c r="Y8" s="1"/>
      <c r="Z8" s="1"/>
      <c r="AA8" s="1"/>
    </row>
    <row r="9" spans="1:27">
      <c r="A9" s="1"/>
      <c r="B9" s="1"/>
      <c r="C9" s="1"/>
      <c r="D9" s="1"/>
      <c r="E9" s="1"/>
      <c r="F9" s="1"/>
      <c r="G9" s="1"/>
      <c r="H9" s="1"/>
      <c r="I9" s="106"/>
      <c r="J9" s="1"/>
      <c r="K9" s="1"/>
      <c r="L9" s="105"/>
      <c r="M9" s="1"/>
      <c r="N9" s="1"/>
      <c r="O9" s="1"/>
      <c r="P9" s="1"/>
      <c r="Q9" s="1"/>
      <c r="R9" s="1"/>
      <c r="S9" s="1"/>
      <c r="T9" s="1"/>
      <c r="U9" s="1"/>
      <c r="V9" s="1"/>
      <c r="W9" s="1"/>
      <c r="X9" s="1"/>
      <c r="Y9" s="1"/>
      <c r="Z9" s="1"/>
      <c r="AA9" s="1"/>
    </row>
    <row r="10" spans="1:27">
      <c r="A10" s="1"/>
      <c r="B10" s="1"/>
      <c r="C10" s="1"/>
      <c r="D10" s="1"/>
      <c r="E10" s="1"/>
      <c r="F10" s="1"/>
      <c r="G10" s="1"/>
      <c r="H10" s="1"/>
      <c r="I10" s="1"/>
      <c r="J10" s="1"/>
      <c r="K10" s="1"/>
      <c r="L10" s="105" t="s">
        <v>365</v>
      </c>
      <c r="M10" s="1"/>
      <c r="N10" s="1"/>
      <c r="O10" s="1"/>
      <c r="P10" s="1"/>
      <c r="Q10" s="1"/>
      <c r="R10" s="1"/>
      <c r="S10" s="1"/>
      <c r="T10" s="1"/>
      <c r="U10" s="1"/>
      <c r="V10" s="1"/>
      <c r="W10" s="1"/>
      <c r="X10" s="1"/>
      <c r="Y10" s="1"/>
      <c r="Z10" s="1"/>
      <c r="AA10" s="1"/>
    </row>
    <row r="11" spans="1:27">
      <c r="A11" s="1"/>
      <c r="B11" s="1"/>
      <c r="C11" s="1"/>
      <c r="D11" s="1"/>
      <c r="E11" s="1"/>
      <c r="F11" s="1"/>
      <c r="G11" s="1"/>
      <c r="H11" s="1"/>
      <c r="I11" s="1"/>
      <c r="J11" s="1"/>
      <c r="K11" s="1"/>
      <c r="L11" s="321" t="str">
        <f>IF(G19="Yes", "NOT SELECTED","SELECTED")</f>
        <v>NOT SELECTED</v>
      </c>
      <c r="M11" s="1"/>
      <c r="N11" s="1"/>
      <c r="O11" s="1"/>
      <c r="P11" s="1"/>
      <c r="Q11" s="1"/>
      <c r="R11" s="1"/>
      <c r="S11" s="1"/>
      <c r="T11" s="1"/>
      <c r="U11" s="1"/>
      <c r="V11" s="1"/>
      <c r="W11" s="1"/>
      <c r="X11" s="1"/>
      <c r="Y11" s="1"/>
      <c r="Z11" s="1"/>
      <c r="AA11" s="1"/>
    </row>
    <row r="12" spans="1:27" ht="14" thickBot="1">
      <c r="A12" s="1"/>
      <c r="B12" s="1"/>
      <c r="C12" s="1"/>
      <c r="D12" s="1"/>
      <c r="E12" s="1"/>
      <c r="F12" s="1"/>
      <c r="G12" s="1"/>
      <c r="H12" s="1"/>
      <c r="I12" s="1"/>
      <c r="J12" s="1"/>
      <c r="K12" s="1"/>
      <c r="L12" s="74" t="s">
        <v>149</v>
      </c>
      <c r="M12" s="1"/>
      <c r="N12" s="1"/>
      <c r="O12" s="1"/>
      <c r="P12" s="1"/>
      <c r="Q12" s="1"/>
      <c r="R12" s="1"/>
      <c r="S12" s="1"/>
      <c r="T12" s="1"/>
      <c r="U12" s="1"/>
      <c r="V12" s="1"/>
      <c r="W12" s="1"/>
      <c r="X12" s="1"/>
      <c r="Y12" s="1"/>
      <c r="Z12" s="1"/>
      <c r="AA12" s="1"/>
    </row>
    <row r="13" spans="1:27" ht="15" customHeight="1" thickBot="1">
      <c r="A13" s="1"/>
      <c r="B13" s="1"/>
      <c r="C13" s="109" t="s">
        <v>145</v>
      </c>
      <c r="D13" s="93"/>
      <c r="E13" s="1"/>
      <c r="F13" s="1"/>
      <c r="G13" s="1"/>
      <c r="H13" s="1"/>
      <c r="I13" s="1"/>
      <c r="J13" s="1"/>
      <c r="K13" s="1"/>
      <c r="L13" s="325">
        <f>VLOOKUP('3-Link Scenario Planner'!E7,'3-Link Scenario Planner'!V3:X12,2)</f>
        <v>54.744305941129944</v>
      </c>
      <c r="M13" s="1"/>
      <c r="N13" s="1"/>
      <c r="O13" s="1"/>
      <c r="P13" s="1"/>
      <c r="Q13" s="1"/>
      <c r="R13" s="1"/>
      <c r="S13" s="1"/>
      <c r="T13" s="1"/>
      <c r="U13" s="1"/>
      <c r="V13" s="1"/>
      <c r="W13" s="1"/>
      <c r="X13" s="1"/>
      <c r="Y13" s="1"/>
      <c r="Z13" s="1"/>
      <c r="AA13" s="1"/>
    </row>
    <row r="14" spans="1:27" ht="13.5" customHeight="1" thickBot="1">
      <c r="A14" s="1"/>
      <c r="B14" s="1"/>
      <c r="C14" s="50"/>
      <c r="D14" s="50"/>
      <c r="E14" s="50"/>
      <c r="F14" s="1"/>
      <c r="G14" s="321" t="str">
        <f>IF(G19="Yes","SELECTED","NOT SELECTED")</f>
        <v>SELECTED</v>
      </c>
      <c r="H14" s="1"/>
      <c r="I14" s="1"/>
      <c r="J14" s="1"/>
      <c r="K14" s="1"/>
      <c r="L14" s="105" t="s">
        <v>3</v>
      </c>
      <c r="M14" s="1"/>
      <c r="N14" s="1"/>
      <c r="O14" s="1"/>
      <c r="P14" s="1"/>
      <c r="Q14" s="1"/>
      <c r="R14" s="1"/>
      <c r="S14" s="1"/>
      <c r="T14" s="1"/>
      <c r="U14" s="1"/>
      <c r="V14" s="1"/>
      <c r="W14" s="1"/>
      <c r="X14" s="1"/>
      <c r="Y14" s="1"/>
      <c r="Z14" s="1"/>
      <c r="AA14" s="1"/>
    </row>
    <row r="15" spans="1:27" ht="13.5" customHeight="1" thickBot="1">
      <c r="A15" s="1"/>
      <c r="B15" s="319" t="s">
        <v>27</v>
      </c>
      <c r="C15" s="937">
        <f>('5-Frequency'!C6)/1000</f>
        <v>24.024999999999999</v>
      </c>
      <c r="D15" s="1" t="s">
        <v>304</v>
      </c>
      <c r="E15" s="1"/>
      <c r="F15" s="318" t="s">
        <v>366</v>
      </c>
      <c r="G15" s="314">
        <f>20.4+20*LOG10(C16)+20*LOG10(C15)+10*LOG10(C17/100)</f>
        <v>45.794780430648096</v>
      </c>
      <c r="H15" s="1" t="s">
        <v>3</v>
      </c>
      <c r="I15" s="1"/>
      <c r="J15" s="1"/>
      <c r="K15" s="1"/>
      <c r="L15" s="111" t="s">
        <v>142</v>
      </c>
      <c r="M15" s="1"/>
      <c r="N15" s="1"/>
      <c r="O15" s="1"/>
      <c r="P15" s="1"/>
      <c r="Q15" s="1"/>
      <c r="R15" s="1"/>
      <c r="S15" s="1"/>
      <c r="T15" s="1"/>
      <c r="U15" s="1"/>
      <c r="V15" s="1"/>
      <c r="W15" s="1"/>
      <c r="X15" s="1"/>
      <c r="Y15" s="1"/>
      <c r="Z15" s="1"/>
      <c r="AA15" s="1"/>
    </row>
    <row r="16" spans="1:27" ht="14" thickBot="1">
      <c r="A16" s="1"/>
      <c r="B16" s="319" t="s">
        <v>305</v>
      </c>
      <c r="C16" s="781">
        <v>1</v>
      </c>
      <c r="D16" s="1" t="s">
        <v>306</v>
      </c>
      <c r="E16" s="1"/>
      <c r="F16" s="1"/>
      <c r="G16" s="108"/>
      <c r="H16" s="1"/>
      <c r="I16" s="1"/>
      <c r="J16" s="1"/>
      <c r="K16" s="1"/>
      <c r="L16" s="1"/>
      <c r="M16" s="1"/>
      <c r="N16" s="1"/>
      <c r="O16" s="1"/>
      <c r="P16" s="1"/>
      <c r="Q16" s="1"/>
      <c r="R16" s="1"/>
      <c r="S16" s="1"/>
      <c r="T16" s="1"/>
      <c r="U16" s="1"/>
      <c r="V16" s="1"/>
      <c r="W16" s="1"/>
      <c r="X16" s="1"/>
      <c r="Y16" s="1"/>
      <c r="Z16" s="1"/>
      <c r="AA16" s="1"/>
    </row>
    <row r="17" spans="1:27" ht="14" thickBot="1">
      <c r="A17" s="1"/>
      <c r="B17" s="320" t="s">
        <v>307</v>
      </c>
      <c r="C17" s="467">
        <v>60</v>
      </c>
      <c r="D17" s="1" t="s">
        <v>293</v>
      </c>
      <c r="E17" s="50" t="s">
        <v>308</v>
      </c>
      <c r="F17" s="50" t="s">
        <v>309</v>
      </c>
      <c r="G17" s="315">
        <f>21/(C15*C16)</f>
        <v>0.87408949011446413</v>
      </c>
      <c r="H17" s="1" t="s">
        <v>173</v>
      </c>
      <c r="I17" s="1"/>
      <c r="J17" s="1"/>
      <c r="K17" s="1"/>
      <c r="L17" s="1"/>
      <c r="M17" s="1"/>
      <c r="N17" s="1"/>
      <c r="O17" s="1"/>
      <c r="P17" s="1"/>
      <c r="Q17" s="1"/>
      <c r="R17" s="1"/>
      <c r="S17" s="1"/>
      <c r="T17" s="1"/>
      <c r="U17" s="1"/>
      <c r="V17" s="1"/>
      <c r="W17" s="1"/>
      <c r="X17" s="1"/>
      <c r="Y17" s="1"/>
      <c r="Z17" s="1"/>
      <c r="AA17" s="1"/>
    </row>
    <row r="18" spans="1:27" ht="14" thickBot="1">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ht="19" thickBot="1">
      <c r="A19" s="1"/>
      <c r="B19" s="1"/>
      <c r="C19" s="1"/>
      <c r="D19" s="1"/>
      <c r="E19" s="321" t="s">
        <v>310</v>
      </c>
      <c r="F19" s="1"/>
      <c r="G19" s="378" t="s">
        <v>401</v>
      </c>
      <c r="H19" s="1" t="s">
        <v>406</v>
      </c>
      <c r="I19" s="1"/>
      <c r="J19" s="1"/>
      <c r="K19" s="1"/>
      <c r="L19" s="1"/>
      <c r="M19" s="1"/>
      <c r="N19" s="1"/>
      <c r="O19" s="1"/>
      <c r="P19" s="1"/>
      <c r="Q19" s="1"/>
      <c r="R19" s="1"/>
      <c r="S19" s="1"/>
      <c r="T19" s="1"/>
      <c r="U19" s="1"/>
      <c r="V19" s="1"/>
      <c r="W19" s="1"/>
      <c r="X19" s="1"/>
      <c r="Y19" s="1"/>
      <c r="Z19" s="1"/>
      <c r="AA19" s="1"/>
    </row>
    <row r="20" spans="1:27">
      <c r="A20" s="1"/>
      <c r="B20" s="1"/>
      <c r="C20" s="1"/>
      <c r="D20" s="1"/>
      <c r="E20" s="105" t="s">
        <v>401</v>
      </c>
      <c r="F20" s="1"/>
      <c r="G20" s="1"/>
      <c r="H20" s="1"/>
      <c r="I20" s="1"/>
      <c r="J20" s="1"/>
      <c r="K20" s="1"/>
      <c r="L20" s="1"/>
      <c r="M20" s="1"/>
      <c r="N20" s="1"/>
      <c r="O20" s="1"/>
      <c r="P20" s="1"/>
      <c r="Q20" s="1"/>
      <c r="R20" s="1"/>
      <c r="S20" s="1"/>
      <c r="T20" s="1"/>
      <c r="U20" s="1"/>
      <c r="V20" s="1"/>
      <c r="W20" s="1"/>
      <c r="X20" s="1"/>
      <c r="Y20" s="1"/>
      <c r="Z20" s="1"/>
      <c r="AA20" s="1"/>
    </row>
    <row r="21" spans="1:27">
      <c r="A21" s="1"/>
      <c r="B21" s="1"/>
      <c r="C21" s="1"/>
      <c r="D21" s="1"/>
      <c r="E21" s="1"/>
      <c r="F21" s="1"/>
      <c r="G21" s="1"/>
      <c r="H21" s="1"/>
      <c r="I21" s="1"/>
      <c r="J21" s="1"/>
      <c r="K21" s="1"/>
      <c r="L21" s="1"/>
      <c r="M21" s="1"/>
      <c r="N21" s="1"/>
      <c r="O21" s="107" t="s">
        <v>161</v>
      </c>
      <c r="P21" s="1"/>
      <c r="Q21" s="1"/>
      <c r="R21" s="1"/>
      <c r="S21" s="1"/>
      <c r="T21" s="1"/>
      <c r="U21" s="1"/>
      <c r="V21" s="1"/>
      <c r="W21" s="1"/>
      <c r="X21" s="1"/>
      <c r="Y21" s="1"/>
      <c r="Z21" s="1"/>
      <c r="AA21" s="1"/>
    </row>
    <row r="22" spans="1:27" ht="16">
      <c r="A22" s="1"/>
      <c r="B22" s="1"/>
      <c r="C22" s="1"/>
      <c r="D22" s="1"/>
      <c r="E22" s="1"/>
      <c r="F22" s="1"/>
      <c r="G22" s="1"/>
      <c r="H22" s="1"/>
      <c r="I22" s="1"/>
      <c r="J22" s="111"/>
      <c r="K22" s="1"/>
      <c r="L22" s="1"/>
      <c r="M22" s="1"/>
      <c r="N22" s="1"/>
      <c r="O22" s="1"/>
      <c r="P22" s="1"/>
      <c r="Q22" s="1"/>
      <c r="R22" s="1"/>
      <c r="S22" s="1"/>
      <c r="T22" s="1"/>
      <c r="U22" s="1"/>
      <c r="V22" s="1"/>
      <c r="W22" s="1"/>
      <c r="X22" s="1"/>
      <c r="Y22" s="1"/>
      <c r="Z22" s="1"/>
      <c r="AA22" s="1"/>
    </row>
    <row r="23" spans="1:27">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c r="A24" s="1"/>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ht="14" thickBot="1">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4" thickBot="1">
      <c r="A31" s="1"/>
      <c r="B31" s="1"/>
      <c r="C31" s="1004" t="s">
        <v>147</v>
      </c>
      <c r="D31" s="1005"/>
      <c r="E31" s="1"/>
      <c r="F31" s="1"/>
      <c r="G31" s="1"/>
      <c r="H31" s="233">
        <v>1</v>
      </c>
      <c r="I31" s="69"/>
      <c r="J31" s="1"/>
      <c r="K31" s="1"/>
      <c r="L31" s="1"/>
      <c r="M31" s="1"/>
      <c r="N31" s="1"/>
      <c r="O31" s="1" t="s">
        <v>154</v>
      </c>
      <c r="P31" s="1"/>
      <c r="Q31" s="1"/>
      <c r="R31" s="1"/>
      <c r="S31" s="1"/>
      <c r="T31" s="1"/>
      <c r="U31" s="1"/>
      <c r="V31" s="1"/>
      <c r="W31" s="1"/>
      <c r="X31" s="1"/>
      <c r="Y31" s="1"/>
      <c r="Z31" s="1"/>
      <c r="AA31" s="1"/>
    </row>
    <row r="32" spans="1:27">
      <c r="A32" s="1"/>
      <c r="B32" s="1"/>
      <c r="C32" s="1"/>
      <c r="D32" s="1"/>
      <c r="E32" s="1"/>
      <c r="F32" s="1"/>
      <c r="G32" s="1"/>
      <c r="H32" s="116" t="s">
        <v>156</v>
      </c>
      <c r="I32" s="1"/>
      <c r="J32" s="1"/>
      <c r="K32" s="1"/>
      <c r="L32" s="1"/>
      <c r="M32" s="1"/>
      <c r="N32" s="1"/>
      <c r="O32" s="1"/>
      <c r="P32" s="1"/>
      <c r="Q32" s="1"/>
      <c r="R32" s="1"/>
      <c r="S32" s="1"/>
      <c r="T32" s="1"/>
      <c r="U32" s="1"/>
      <c r="V32" s="1"/>
      <c r="W32" s="1"/>
      <c r="X32" s="1"/>
      <c r="Y32" s="1"/>
      <c r="Z32" s="1"/>
      <c r="AA32" s="1"/>
    </row>
    <row r="33" spans="1:27" ht="14" thickBot="1">
      <c r="A33" s="1"/>
      <c r="B33" s="1"/>
      <c r="C33" s="1"/>
      <c r="D33" s="1"/>
      <c r="E33" s="1"/>
      <c r="F33" s="1"/>
      <c r="G33" s="1"/>
      <c r="H33" s="1"/>
      <c r="I33" s="1"/>
      <c r="J33" s="74"/>
      <c r="K33" s="1"/>
      <c r="L33" s="1"/>
      <c r="M33" s="1"/>
      <c r="N33" s="1"/>
      <c r="O33" s="1"/>
      <c r="P33" s="1"/>
      <c r="Q33" s="1"/>
      <c r="R33" s="1"/>
      <c r="S33" s="1"/>
      <c r="T33" s="1"/>
      <c r="U33" s="1"/>
      <c r="V33" s="1"/>
      <c r="W33" s="1"/>
      <c r="X33" s="1"/>
      <c r="Y33" s="1"/>
      <c r="Z33" s="1"/>
      <c r="AA33" s="1"/>
    </row>
    <row r="34" spans="1:27" ht="14" thickBot="1">
      <c r="A34" s="1"/>
      <c r="B34" s="1"/>
      <c r="C34" s="1004" t="s">
        <v>150</v>
      </c>
      <c r="D34" s="1005"/>
      <c r="E34" s="1"/>
      <c r="F34" s="1"/>
      <c r="G34" s="1"/>
      <c r="H34" s="1"/>
      <c r="I34" s="1"/>
      <c r="J34" s="233">
        <v>0.8</v>
      </c>
      <c r="K34" s="1"/>
      <c r="L34" s="1"/>
      <c r="M34" s="1"/>
      <c r="N34" s="1"/>
      <c r="O34" s="1"/>
      <c r="P34" s="1"/>
      <c r="Q34" s="1"/>
      <c r="R34" s="1"/>
      <c r="S34" s="1"/>
      <c r="T34" s="1"/>
      <c r="U34" s="1"/>
      <c r="V34" s="1"/>
      <c r="W34" s="1"/>
      <c r="X34" s="1"/>
      <c r="Y34" s="1"/>
      <c r="Z34" s="1"/>
      <c r="AA34" s="1"/>
    </row>
    <row r="35" spans="1:27">
      <c r="A35" s="1"/>
      <c r="B35" s="1"/>
      <c r="C35" s="108"/>
      <c r="D35" s="1"/>
      <c r="E35" s="1"/>
      <c r="F35" s="1"/>
      <c r="G35" s="1"/>
      <c r="H35" s="1"/>
      <c r="I35" s="1"/>
      <c r="J35" s="74" t="s">
        <v>152</v>
      </c>
      <c r="K35" s="1"/>
      <c r="L35" s="1"/>
      <c r="M35" s="1"/>
      <c r="N35" s="1"/>
      <c r="O35" s="1"/>
      <c r="P35" s="1"/>
      <c r="Q35" s="1"/>
      <c r="R35" s="1"/>
      <c r="S35" s="1"/>
      <c r="T35" s="1"/>
      <c r="U35" s="1"/>
      <c r="V35" s="1"/>
      <c r="W35" s="1"/>
      <c r="X35" s="1"/>
      <c r="Y35" s="1"/>
      <c r="Z35" s="1"/>
      <c r="AA35" s="1"/>
    </row>
    <row r="36" spans="1:27">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ht="14" thickBot="1">
      <c r="A37" s="1"/>
      <c r="B37" s="1"/>
      <c r="C37" s="1004" t="s">
        <v>151</v>
      </c>
      <c r="D37" s="1023"/>
      <c r="E37" s="1005"/>
      <c r="F37" s="1"/>
      <c r="G37" s="1"/>
      <c r="H37" s="1"/>
      <c r="I37" s="1"/>
      <c r="J37" s="1"/>
      <c r="K37" s="1"/>
      <c r="L37" s="1"/>
      <c r="M37" s="1"/>
      <c r="N37" s="1"/>
      <c r="O37" s="1"/>
      <c r="P37" s="1"/>
      <c r="Q37" s="1"/>
      <c r="R37" s="1"/>
      <c r="S37" s="1"/>
      <c r="T37" s="1"/>
      <c r="U37" s="1"/>
      <c r="V37" s="1"/>
      <c r="W37" s="1"/>
      <c r="X37" s="1"/>
      <c r="Y37" s="1"/>
      <c r="Z37" s="1"/>
      <c r="AA37" s="1"/>
    </row>
    <row r="38" spans="1:27" ht="14" thickBot="1">
      <c r="A38" s="1"/>
      <c r="B38" s="1"/>
      <c r="C38" s="1"/>
      <c r="D38" s="1"/>
      <c r="E38" s="1"/>
      <c r="F38" s="1"/>
      <c r="G38" s="1"/>
      <c r="H38" s="1"/>
      <c r="I38" s="1"/>
      <c r="J38" s="1"/>
      <c r="K38" s="1"/>
      <c r="L38" s="1"/>
      <c r="M38" s="578">
        <v>1</v>
      </c>
      <c r="N38" s="1"/>
      <c r="O38" s="1"/>
      <c r="P38" s="1"/>
      <c r="Q38" s="1"/>
      <c r="R38" s="1"/>
      <c r="S38" s="1"/>
      <c r="T38" s="1"/>
      <c r="U38" s="1"/>
      <c r="V38" s="1"/>
      <c r="W38" s="1"/>
      <c r="X38" s="1"/>
      <c r="Y38" s="1"/>
      <c r="Z38" s="1"/>
      <c r="AA38" s="1"/>
    </row>
    <row r="39" spans="1:27">
      <c r="A39" s="1"/>
      <c r="B39" s="1"/>
      <c r="C39" s="1"/>
      <c r="D39" s="1"/>
      <c r="E39" s="1"/>
      <c r="F39" s="1"/>
      <c r="G39" s="1"/>
      <c r="H39" s="1"/>
      <c r="I39" s="1"/>
      <c r="J39" s="1"/>
      <c r="K39" s="1"/>
      <c r="L39" s="1"/>
      <c r="M39" s="74"/>
      <c r="N39" s="1"/>
      <c r="O39" s="1"/>
      <c r="P39" s="1"/>
      <c r="Q39" s="1"/>
      <c r="R39" s="1"/>
      <c r="S39" s="1"/>
      <c r="T39" s="1"/>
      <c r="U39" s="1"/>
      <c r="V39" s="1"/>
      <c r="W39" s="1"/>
      <c r="X39" s="1"/>
      <c r="Y39" s="1"/>
      <c r="Z39" s="1"/>
      <c r="AA39" s="1"/>
    </row>
    <row r="40" spans="1:27">
      <c r="A40" s="1"/>
      <c r="B40" s="1"/>
      <c r="C40" s="1006"/>
      <c r="D40" s="1006"/>
      <c r="E40" s="1006"/>
      <c r="F40" s="1"/>
      <c r="G40" s="1"/>
      <c r="H40" s="1"/>
      <c r="I40" s="1"/>
      <c r="J40" s="1"/>
      <c r="K40" s="1"/>
      <c r="L40" s="1"/>
      <c r="M40" s="112"/>
      <c r="N40" s="1"/>
      <c r="O40" s="1"/>
      <c r="P40" s="1"/>
      <c r="Q40" s="1"/>
      <c r="R40" s="1"/>
      <c r="S40" s="1"/>
      <c r="T40" s="1"/>
      <c r="U40" s="1"/>
      <c r="V40" s="1"/>
      <c r="W40" s="1"/>
      <c r="X40" s="1"/>
      <c r="Y40" s="1"/>
      <c r="Z40" s="1"/>
      <c r="AA40" s="1"/>
    </row>
    <row r="41" spans="1:27" ht="14" thickBot="1">
      <c r="A41" s="1"/>
      <c r="B41" s="1"/>
      <c r="C41" s="1"/>
      <c r="D41" s="1"/>
      <c r="E41" s="1"/>
      <c r="F41" s="1"/>
      <c r="G41" s="1"/>
      <c r="H41" s="1"/>
      <c r="I41" s="1"/>
      <c r="J41" s="1"/>
      <c r="K41" s="1"/>
      <c r="L41" s="1"/>
      <c r="M41" s="69"/>
      <c r="N41" s="1"/>
      <c r="O41" s="1"/>
      <c r="P41" s="1"/>
      <c r="Q41" s="1"/>
      <c r="R41" s="1"/>
      <c r="S41" s="1"/>
      <c r="T41" s="1"/>
      <c r="U41" s="1"/>
      <c r="V41" s="1"/>
      <c r="W41" s="1"/>
      <c r="X41" s="1"/>
      <c r="Y41" s="1"/>
      <c r="Z41" s="1"/>
      <c r="AA41" s="1"/>
    </row>
    <row r="42" spans="1:27" ht="14" thickBot="1">
      <c r="A42" s="1"/>
      <c r="B42" s="1"/>
      <c r="C42" s="1001" t="s">
        <v>61</v>
      </c>
      <c r="D42" s="1002"/>
      <c r="E42" s="1003"/>
      <c r="F42" s="1"/>
      <c r="G42" s="1"/>
      <c r="H42" s="144" t="s">
        <v>169</v>
      </c>
      <c r="I42" s="1"/>
      <c r="J42" s="121">
        <f>'8-Uplink Budget'!C12</f>
        <v>43.994780430648099</v>
      </c>
      <c r="K42" s="1"/>
      <c r="L42" s="1"/>
      <c r="M42" s="1"/>
      <c r="N42" s="1"/>
      <c r="O42" s="1"/>
      <c r="P42" s="1"/>
      <c r="Q42" s="1"/>
      <c r="R42" s="1"/>
      <c r="S42" s="1"/>
      <c r="T42" s="1"/>
      <c r="U42" s="1"/>
      <c r="V42" s="1"/>
      <c r="W42" s="1"/>
      <c r="X42" s="1"/>
      <c r="Y42" s="1"/>
      <c r="Z42" s="1"/>
      <c r="AA42" s="1"/>
    </row>
    <row r="43" spans="1:27">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ht="12" customHeight="1" thickBot="1">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ht="14.25" customHeight="1" thickBot="1">
      <c r="A47" s="316"/>
      <c r="B47" s="113"/>
      <c r="C47" s="114"/>
      <c r="D47" s="114"/>
      <c r="E47" s="114"/>
      <c r="F47" s="114"/>
      <c r="G47" s="114"/>
      <c r="H47" s="114"/>
      <c r="I47" s="114"/>
      <c r="J47" s="114"/>
      <c r="K47" s="114"/>
      <c r="L47" s="114"/>
      <c r="M47" s="114"/>
      <c r="N47" s="114"/>
      <c r="O47" s="114"/>
      <c r="P47" s="114"/>
      <c r="Q47" s="114"/>
      <c r="R47" s="114"/>
      <c r="S47" s="114"/>
      <c r="T47" s="114"/>
      <c r="U47" s="114"/>
      <c r="V47" s="114"/>
      <c r="W47" s="114"/>
      <c r="X47" s="114"/>
      <c r="Y47" s="114"/>
      <c r="Z47" s="114"/>
      <c r="AA47" s="115"/>
    </row>
    <row r="48" spans="1:27">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c r="A49" s="1"/>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ht="14" thickBot="1">
      <c r="A50" s="1"/>
      <c r="B50" s="1"/>
      <c r="C50" s="1"/>
      <c r="D50" s="1"/>
      <c r="E50" s="69" t="s">
        <v>3</v>
      </c>
      <c r="F50" s="1"/>
      <c r="G50" s="1"/>
      <c r="H50" s="1"/>
      <c r="I50" s="1"/>
      <c r="J50" s="1"/>
      <c r="K50" s="1"/>
      <c r="L50" s="1"/>
      <c r="M50" s="1"/>
      <c r="N50" s="1"/>
      <c r="O50" s="1"/>
      <c r="P50" s="1"/>
      <c r="Q50" s="1"/>
      <c r="R50" s="1"/>
      <c r="S50" s="1"/>
      <c r="T50" s="1"/>
      <c r="U50" s="1"/>
      <c r="V50" s="1"/>
      <c r="W50" s="1"/>
      <c r="X50" s="1"/>
      <c r="Y50" s="1"/>
      <c r="Z50" s="1"/>
      <c r="AA50" s="1"/>
    </row>
    <row r="51" spans="1:27" ht="17" thickBot="1">
      <c r="A51" s="1"/>
      <c r="B51" s="1"/>
      <c r="C51" s="1020" t="s">
        <v>510</v>
      </c>
      <c r="D51" s="1021"/>
      <c r="E51" s="1022"/>
      <c r="F51" s="1"/>
      <c r="G51" s="1"/>
      <c r="H51" s="1"/>
      <c r="I51" s="1"/>
      <c r="J51" s="1"/>
      <c r="K51" s="1"/>
      <c r="L51" s="1"/>
      <c r="M51" s="1"/>
      <c r="N51" s="1"/>
      <c r="O51" s="1"/>
      <c r="P51" s="1"/>
      <c r="Q51" s="1"/>
      <c r="R51" s="1"/>
      <c r="S51" s="1"/>
      <c r="T51" s="1"/>
      <c r="U51" s="1"/>
      <c r="V51" s="1"/>
      <c r="W51" s="1"/>
      <c r="X51" s="1"/>
      <c r="Y51" s="1"/>
      <c r="Z51" s="1"/>
      <c r="AA51" s="1"/>
    </row>
    <row r="52" spans="1:27">
      <c r="A52" s="1"/>
      <c r="B52" s="1"/>
      <c r="C52" s="269" t="s">
        <v>3</v>
      </c>
      <c r="D52" s="1"/>
      <c r="E52" s="1"/>
      <c r="F52" s="1"/>
      <c r="G52" s="1"/>
      <c r="H52" s="1"/>
      <c r="I52" s="1"/>
      <c r="J52" s="1"/>
      <c r="K52" s="1"/>
      <c r="L52" s="1"/>
      <c r="M52" s="1"/>
      <c r="N52" s="1"/>
      <c r="O52" s="1"/>
      <c r="P52" s="1"/>
      <c r="Q52" s="1"/>
      <c r="R52" s="1"/>
      <c r="S52" s="1"/>
      <c r="T52" s="1"/>
      <c r="U52" s="1"/>
      <c r="V52" s="1"/>
      <c r="W52" s="1"/>
      <c r="X52" s="1"/>
      <c r="Y52" s="1"/>
      <c r="Z52" s="1"/>
      <c r="AA52" s="1"/>
    </row>
    <row r="53" spans="1:27">
      <c r="A53" s="1"/>
      <c r="B53" s="1"/>
      <c r="C53" s="234" t="s">
        <v>3</v>
      </c>
      <c r="D53" s="1"/>
      <c r="E53" s="1"/>
      <c r="F53" s="1"/>
      <c r="G53" s="1"/>
      <c r="H53" s="1"/>
      <c r="I53" s="1"/>
      <c r="J53" s="1"/>
      <c r="K53" s="1"/>
      <c r="L53" s="1"/>
      <c r="M53" s="1"/>
      <c r="N53" s="1"/>
      <c r="O53" s="1"/>
      <c r="P53" s="1"/>
      <c r="Q53" s="1"/>
      <c r="R53" s="1"/>
      <c r="S53" s="1"/>
      <c r="T53" s="1"/>
      <c r="U53" s="1"/>
      <c r="V53" s="1"/>
      <c r="W53" s="1"/>
      <c r="X53" s="1"/>
      <c r="Y53" s="1"/>
      <c r="Z53" s="1"/>
      <c r="AA53" s="1"/>
    </row>
    <row r="54" spans="1:27">
      <c r="A54" s="1"/>
      <c r="B54" s="1"/>
      <c r="C54" s="1"/>
      <c r="D54" s="1"/>
      <c r="E54" s="1"/>
      <c r="F54" s="1"/>
      <c r="G54" s="1"/>
      <c r="H54" s="1"/>
      <c r="I54" s="1"/>
      <c r="J54" s="1"/>
      <c r="K54" s="1"/>
      <c r="L54" s="1"/>
      <c r="M54" s="1"/>
      <c r="N54" s="1"/>
      <c r="O54" s="1"/>
      <c r="P54" s="1" t="s">
        <v>324</v>
      </c>
      <c r="Q54" s="1"/>
      <c r="R54" s="1"/>
      <c r="S54" s="1"/>
      <c r="T54" s="1"/>
      <c r="U54" s="1"/>
      <c r="V54" s="1"/>
      <c r="W54" s="1"/>
      <c r="X54" s="1"/>
      <c r="Y54" s="1"/>
      <c r="Z54" s="1"/>
      <c r="AA54" s="1"/>
    </row>
    <row r="55" spans="1:27" ht="14" thickBot="1">
      <c r="A55" s="1"/>
      <c r="B55" s="1"/>
      <c r="C55" s="1"/>
      <c r="D55" s="1"/>
      <c r="E55" s="1"/>
      <c r="F55" s="1"/>
      <c r="G55" s="1"/>
      <c r="H55" s="1"/>
      <c r="I55" s="1"/>
      <c r="J55" s="1"/>
      <c r="K55" s="1"/>
      <c r="L55" s="1"/>
      <c r="M55" s="1"/>
      <c r="N55" s="1"/>
      <c r="O55" s="1"/>
      <c r="P55" s="108" t="s">
        <v>158</v>
      </c>
      <c r="Q55" s="1"/>
      <c r="R55" s="1"/>
      <c r="S55" s="1"/>
      <c r="T55" s="1"/>
      <c r="U55" s="1"/>
      <c r="V55" s="1"/>
      <c r="W55" s="1"/>
      <c r="X55" s="1"/>
      <c r="Y55" s="1"/>
      <c r="Z55" s="1"/>
      <c r="AA55" s="1"/>
    </row>
    <row r="56" spans="1:27" ht="14" thickBot="1">
      <c r="A56" s="1"/>
      <c r="B56" s="1"/>
      <c r="C56" s="1010" t="s">
        <v>42</v>
      </c>
      <c r="D56" s="1011"/>
      <c r="E56" s="1012"/>
      <c r="F56" s="1"/>
      <c r="G56" s="1"/>
      <c r="H56" s="1"/>
      <c r="I56" s="1"/>
      <c r="J56" s="1"/>
      <c r="K56" s="1"/>
      <c r="L56" s="1"/>
      <c r="M56" s="1"/>
      <c r="N56" s="1"/>
      <c r="O56" s="1"/>
      <c r="P56" s="329">
        <v>35</v>
      </c>
      <c r="Q56" s="1"/>
      <c r="R56" s="1"/>
      <c r="S56" s="1"/>
      <c r="T56" s="1"/>
      <c r="U56" s="1"/>
      <c r="V56" s="1"/>
      <c r="W56" s="1"/>
      <c r="X56" s="1"/>
      <c r="Y56" s="1"/>
      <c r="Z56" s="1"/>
      <c r="AA56" s="1"/>
    </row>
    <row r="57" spans="1:27">
      <c r="A57" s="1"/>
      <c r="B57" s="1"/>
      <c r="C57" s="1"/>
      <c r="D57" s="1"/>
      <c r="E57" s="1"/>
      <c r="F57" s="1"/>
      <c r="G57" s="1"/>
      <c r="H57" s="1"/>
      <c r="I57" s="1"/>
      <c r="J57" s="1"/>
      <c r="K57" s="1"/>
      <c r="L57" s="1"/>
      <c r="M57" s="1"/>
      <c r="N57" s="1"/>
      <c r="O57" s="1"/>
      <c r="P57" s="108"/>
      <c r="Q57" s="1"/>
      <c r="R57" s="1"/>
      <c r="S57" s="1"/>
      <c r="T57" s="1"/>
      <c r="U57" s="1"/>
      <c r="V57" s="1"/>
      <c r="W57" s="1"/>
      <c r="X57" s="1"/>
      <c r="Y57" s="1"/>
      <c r="Z57" s="1"/>
      <c r="AA57" s="1"/>
    </row>
    <row r="58" spans="1:27" ht="12.75" customHeight="1">
      <c r="A58" s="1"/>
      <c r="B58" s="1"/>
      <c r="C58" s="1019"/>
      <c r="D58" s="1019"/>
      <c r="E58" s="1"/>
      <c r="F58" s="1"/>
      <c r="G58" s="1"/>
      <c r="H58" s="1"/>
      <c r="I58" s="1"/>
      <c r="J58" s="1"/>
      <c r="K58" s="1"/>
      <c r="L58" s="1"/>
      <c r="M58" s="1"/>
      <c r="N58" s="1" t="s">
        <v>3</v>
      </c>
      <c r="O58" s="1"/>
      <c r="P58" s="108"/>
      <c r="Q58" s="1"/>
      <c r="R58" s="1"/>
      <c r="S58" s="1"/>
      <c r="T58" s="1"/>
      <c r="U58" s="1"/>
      <c r="V58" s="1"/>
      <c r="W58" s="1"/>
      <c r="X58" s="1"/>
      <c r="Y58" s="1"/>
      <c r="Z58" s="1"/>
      <c r="AA58" s="1"/>
    </row>
    <row r="59" spans="1:27">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ht="14" thickBot="1">
      <c r="A61" s="1"/>
      <c r="B61" s="1"/>
      <c r="C61" s="1"/>
      <c r="D61" s="1"/>
      <c r="E61" s="1"/>
      <c r="F61" s="1"/>
      <c r="G61" s="1"/>
      <c r="H61" s="1"/>
      <c r="I61" s="1"/>
      <c r="J61" s="1"/>
      <c r="K61" s="1"/>
      <c r="L61" s="1"/>
      <c r="M61" s="1"/>
      <c r="N61" s="74" t="s">
        <v>146</v>
      </c>
      <c r="O61" s="1"/>
      <c r="P61" s="1"/>
      <c r="Q61" s="1"/>
      <c r="R61" s="1"/>
      <c r="S61" s="1"/>
      <c r="T61" s="1"/>
      <c r="U61" s="1"/>
      <c r="V61" s="1"/>
      <c r="W61" s="1"/>
      <c r="X61" s="1"/>
      <c r="Y61" s="1"/>
      <c r="Z61" s="1"/>
      <c r="AA61" s="1"/>
    </row>
    <row r="62" spans="1:27" ht="14" thickBot="1">
      <c r="A62" s="1"/>
      <c r="B62" s="1"/>
      <c r="C62" s="1010" t="s">
        <v>148</v>
      </c>
      <c r="D62" s="1012"/>
      <c r="E62" s="1"/>
      <c r="F62" s="1"/>
      <c r="G62" s="1"/>
      <c r="H62" s="1"/>
      <c r="I62" s="1"/>
      <c r="J62" s="1"/>
      <c r="K62" s="1"/>
      <c r="L62" s="1"/>
      <c r="M62" s="110" t="s">
        <v>494</v>
      </c>
      <c r="N62" s="504">
        <v>0.4</v>
      </c>
      <c r="O62" s="1"/>
      <c r="P62" s="1"/>
      <c r="Q62" s="1"/>
      <c r="R62" s="1"/>
      <c r="S62" s="1"/>
      <c r="T62" s="1"/>
      <c r="U62" s="1"/>
      <c r="V62" s="1"/>
      <c r="W62" s="1"/>
      <c r="X62" s="1"/>
      <c r="Y62" s="1"/>
      <c r="Z62" s="1"/>
      <c r="AA62" s="1"/>
    </row>
    <row r="63" spans="1:27">
      <c r="A63" s="1"/>
      <c r="B63" s="1"/>
      <c r="C63" s="1"/>
      <c r="D63" s="1"/>
      <c r="E63" s="1"/>
      <c r="F63" s="1"/>
      <c r="G63" s="1"/>
      <c r="H63" s="1"/>
      <c r="I63" s="107" t="s">
        <v>143</v>
      </c>
      <c r="J63" s="1"/>
      <c r="K63" s="1"/>
      <c r="L63" s="1"/>
      <c r="M63" s="1"/>
      <c r="N63" s="1"/>
      <c r="O63" s="107"/>
      <c r="P63" s="1"/>
      <c r="Q63" s="1"/>
      <c r="R63" s="1"/>
      <c r="S63" s="1"/>
      <c r="T63" s="1"/>
      <c r="U63" s="1"/>
      <c r="V63" s="1"/>
      <c r="W63" s="1"/>
      <c r="X63" s="1"/>
      <c r="Y63" s="1"/>
      <c r="Z63" s="1"/>
      <c r="AA63" s="1"/>
    </row>
    <row r="64" spans="1:27">
      <c r="A64" s="1"/>
      <c r="B64" s="1"/>
      <c r="C64" s="1"/>
      <c r="D64" s="1"/>
      <c r="E64" s="1"/>
      <c r="F64" s="1"/>
      <c r="G64" s="1"/>
      <c r="H64" s="1"/>
      <c r="I64" s="106"/>
      <c r="J64" s="1"/>
      <c r="K64" s="1"/>
      <c r="L64" s="105" t="s">
        <v>3</v>
      </c>
      <c r="M64" s="1"/>
      <c r="N64" s="1"/>
      <c r="O64" s="1"/>
      <c r="P64" s="1"/>
      <c r="Q64" s="1"/>
      <c r="R64" s="1"/>
      <c r="S64" s="1"/>
      <c r="T64" s="1"/>
      <c r="U64" s="1"/>
      <c r="V64" s="1"/>
      <c r="W64" s="1"/>
      <c r="X64" s="1"/>
      <c r="Y64" s="1"/>
      <c r="Z64" s="1"/>
      <c r="AA64" s="1"/>
    </row>
    <row r="65" spans="1:27" ht="14" thickBot="1">
      <c r="A65" s="1"/>
      <c r="B65" s="1"/>
      <c r="C65" s="69"/>
      <c r="D65" s="1"/>
      <c r="E65" s="1"/>
      <c r="F65" s="1"/>
      <c r="G65" s="1"/>
      <c r="H65" s="1"/>
      <c r="I65" s="1"/>
      <c r="J65" s="1"/>
      <c r="K65" s="1"/>
      <c r="L65" s="105" t="s">
        <v>3</v>
      </c>
      <c r="M65" s="1"/>
      <c r="N65" s="1"/>
      <c r="O65" s="1"/>
      <c r="P65" s="1"/>
      <c r="Q65" s="1"/>
      <c r="R65" s="1"/>
      <c r="S65" s="1"/>
      <c r="T65" s="1"/>
      <c r="U65" s="1"/>
      <c r="V65" s="1"/>
      <c r="W65" s="1"/>
      <c r="X65" s="1"/>
      <c r="Y65" s="1"/>
      <c r="Z65" s="1"/>
      <c r="AA65" s="1"/>
    </row>
    <row r="66" spans="1:27" ht="14" thickBot="1">
      <c r="A66" s="1"/>
      <c r="B66" s="1"/>
      <c r="C66" s="1"/>
      <c r="D66" s="1"/>
      <c r="E66" s="1"/>
      <c r="F66" s="1"/>
      <c r="G66" s="1"/>
      <c r="H66" s="1"/>
      <c r="I66" s="1"/>
      <c r="J66" s="1"/>
      <c r="K66" s="1"/>
      <c r="L66" s="326" t="s">
        <v>140</v>
      </c>
      <c r="M66" s="1"/>
      <c r="N66" s="1"/>
      <c r="O66" s="1"/>
      <c r="P66" s="1"/>
      <c r="Q66" s="1"/>
      <c r="R66" s="1"/>
      <c r="S66" s="1"/>
      <c r="T66" s="1"/>
      <c r="U66" s="1"/>
      <c r="V66" s="1"/>
      <c r="W66" s="1"/>
      <c r="X66" s="1"/>
      <c r="Y66" s="1"/>
      <c r="Z66" s="1"/>
      <c r="AA66" s="1"/>
    </row>
    <row r="67" spans="1:27" ht="14" thickBot="1">
      <c r="A67" s="1"/>
      <c r="B67" s="1"/>
      <c r="C67" s="69" t="s">
        <v>3</v>
      </c>
      <c r="D67" s="1"/>
      <c r="E67" s="1"/>
      <c r="F67" s="1"/>
      <c r="G67" s="69" t="s">
        <v>3</v>
      </c>
      <c r="H67" s="1"/>
      <c r="I67" s="1"/>
      <c r="J67" s="1"/>
      <c r="K67" s="1"/>
      <c r="L67" s="74" t="s">
        <v>149</v>
      </c>
      <c r="M67" s="1"/>
      <c r="N67" s="1"/>
      <c r="O67" s="1"/>
      <c r="P67" s="1"/>
      <c r="Q67" s="1"/>
      <c r="R67" s="1"/>
      <c r="S67" s="1"/>
      <c r="T67" s="1"/>
      <c r="U67" s="1"/>
      <c r="V67" s="1"/>
      <c r="W67" s="1"/>
      <c r="X67" s="1"/>
      <c r="Y67" s="1"/>
      <c r="Z67" s="1"/>
      <c r="AA67" s="1"/>
    </row>
    <row r="68" spans="1:27" ht="14" thickBot="1">
      <c r="A68" s="1"/>
      <c r="B68" s="1"/>
      <c r="C68" s="118" t="s">
        <v>160</v>
      </c>
      <c r="D68" s="119"/>
      <c r="E68" s="120"/>
      <c r="F68" s="1"/>
      <c r="G68" s="1"/>
      <c r="H68" s="1"/>
      <c r="I68" s="1"/>
      <c r="J68" s="1"/>
      <c r="K68" s="1"/>
      <c r="L68" s="325">
        <f>VLOOKUP('3-Link Scenario Planner'!E7,'3-Link Scenario Planner'!V3:X12,3)</f>
        <v>47.534118647084938</v>
      </c>
      <c r="M68" s="1"/>
      <c r="N68" s="1"/>
      <c r="O68" s="1"/>
      <c r="P68" s="1"/>
      <c r="Q68" s="1"/>
      <c r="R68" s="1"/>
      <c r="S68" s="1"/>
      <c r="T68" s="1"/>
      <c r="U68" s="1"/>
      <c r="V68" s="1"/>
      <c r="W68" s="1"/>
      <c r="X68" s="1"/>
      <c r="Y68" s="1"/>
      <c r="Z68" s="1"/>
      <c r="AA68" s="1"/>
    </row>
    <row r="69" spans="1:27">
      <c r="A69" s="1"/>
      <c r="B69" s="1"/>
      <c r="C69" s="50" t="s">
        <v>3</v>
      </c>
      <c r="D69" s="1"/>
      <c r="E69" s="1"/>
      <c r="F69" s="1"/>
      <c r="G69" s="1"/>
      <c r="H69" s="1"/>
      <c r="I69" s="1"/>
      <c r="J69" s="1"/>
      <c r="K69" s="1"/>
      <c r="L69" s="321" t="str">
        <f>IF(G75="Yes", "NOT SELECTED", "SELECTED")</f>
        <v>NOT SELECTED</v>
      </c>
      <c r="M69" s="1"/>
      <c r="N69" s="1"/>
      <c r="O69" s="1"/>
      <c r="P69" s="1"/>
      <c r="Q69" s="1"/>
      <c r="R69" s="1"/>
      <c r="S69" s="1"/>
      <c r="T69" s="1"/>
      <c r="U69" s="1"/>
      <c r="V69" s="1"/>
      <c r="W69" s="1"/>
      <c r="X69" s="1"/>
      <c r="Y69" s="1"/>
      <c r="Z69" s="1"/>
      <c r="AA69" s="1"/>
    </row>
    <row r="70" spans="1:27" ht="14" thickBot="1">
      <c r="A70" s="1"/>
      <c r="B70" s="1"/>
      <c r="C70" s="50" t="s">
        <v>3</v>
      </c>
      <c r="D70" s="1"/>
      <c r="E70" s="1"/>
      <c r="F70" s="1"/>
      <c r="G70" s="321" t="str">
        <f>IF(G75="Yes", "SELECTED","NOT SELECTED")</f>
        <v>SELECTED</v>
      </c>
      <c r="H70" s="1"/>
      <c r="I70" s="1"/>
      <c r="J70" s="1"/>
      <c r="K70" s="1"/>
      <c r="L70" s="105" t="s">
        <v>749</v>
      </c>
      <c r="M70" s="1"/>
      <c r="N70" s="1"/>
      <c r="O70" s="1"/>
      <c r="P70" s="1"/>
      <c r="Q70" s="1"/>
      <c r="R70" s="1"/>
      <c r="S70" s="1"/>
      <c r="T70" s="1"/>
      <c r="U70" s="1"/>
      <c r="V70" s="1"/>
      <c r="W70" s="1"/>
      <c r="X70" s="1"/>
      <c r="Y70" s="1"/>
      <c r="Z70" s="1"/>
      <c r="AA70" s="1"/>
    </row>
    <row r="71" spans="1:27" ht="14" thickBot="1">
      <c r="A71" s="1"/>
      <c r="B71" s="319" t="s">
        <v>27</v>
      </c>
      <c r="C71" s="937">
        <f>('5-Frequency'!C12)/1000</f>
        <v>10.475</v>
      </c>
      <c r="D71" s="1" t="s">
        <v>304</v>
      </c>
      <c r="E71" s="1"/>
      <c r="F71" s="105" t="s">
        <v>311</v>
      </c>
      <c r="G71" s="314">
        <f>20.4+20*LOG10(C72)+20*LOG10(C71)+10*LOG10(C73/100)</f>
        <v>38.58459313660309</v>
      </c>
      <c r="H71" s="1" t="s">
        <v>3</v>
      </c>
      <c r="I71" s="1"/>
      <c r="J71" s="1"/>
      <c r="K71" s="1"/>
      <c r="L71" s="105" t="s">
        <v>318</v>
      </c>
      <c r="M71" s="1"/>
      <c r="N71" s="1"/>
      <c r="O71" s="1"/>
      <c r="P71" s="1"/>
      <c r="Q71" s="1"/>
      <c r="R71" s="1"/>
      <c r="S71" s="1"/>
      <c r="T71" s="1"/>
      <c r="U71" s="1"/>
      <c r="V71" s="1"/>
      <c r="W71" s="1"/>
      <c r="X71" s="1"/>
      <c r="Y71" s="1"/>
      <c r="Z71" s="1"/>
      <c r="AA71" s="1"/>
    </row>
    <row r="72" spans="1:27" ht="14" thickBot="1">
      <c r="A72" s="1"/>
      <c r="B72" s="319" t="s">
        <v>305</v>
      </c>
      <c r="C72" s="782">
        <v>1</v>
      </c>
      <c r="D72" s="1" t="s">
        <v>306</v>
      </c>
      <c r="E72" s="1"/>
      <c r="F72" s="1"/>
      <c r="G72" s="108"/>
      <c r="H72" s="1"/>
      <c r="I72" s="1"/>
      <c r="J72" s="1"/>
      <c r="K72" s="1"/>
      <c r="L72" s="108" t="s">
        <v>329</v>
      </c>
      <c r="M72" s="1"/>
      <c r="N72" s="1"/>
      <c r="O72" s="1"/>
      <c r="P72" s="1"/>
      <c r="Q72" s="1"/>
      <c r="R72" s="1"/>
      <c r="S72" s="1"/>
      <c r="T72" s="1"/>
      <c r="U72" s="1"/>
      <c r="V72" s="1"/>
      <c r="W72" s="1"/>
      <c r="X72" s="1"/>
      <c r="Y72" s="1"/>
      <c r="Z72" s="1"/>
      <c r="AA72" s="1"/>
    </row>
    <row r="73" spans="1:27" ht="14" thickBot="1">
      <c r="A73" s="1"/>
      <c r="B73" s="320" t="s">
        <v>307</v>
      </c>
      <c r="C73" s="467">
        <v>60</v>
      </c>
      <c r="D73" s="1" t="s">
        <v>293</v>
      </c>
      <c r="E73" s="50" t="s">
        <v>308</v>
      </c>
      <c r="F73" s="50" t="s">
        <v>309</v>
      </c>
      <c r="G73" s="315">
        <f>21/(C71*C72)</f>
        <v>2.0047732696897373</v>
      </c>
      <c r="H73" s="1" t="s">
        <v>173</v>
      </c>
      <c r="I73" s="1"/>
      <c r="J73" s="1"/>
      <c r="K73" s="1"/>
      <c r="L73" s="1"/>
      <c r="M73" s="1"/>
      <c r="N73" s="1"/>
      <c r="O73" s="1"/>
      <c r="P73" s="1"/>
      <c r="Q73" s="1"/>
      <c r="R73" s="1"/>
      <c r="S73" s="1"/>
      <c r="T73" s="1"/>
      <c r="U73" s="1"/>
      <c r="V73" s="1"/>
      <c r="W73" s="1"/>
      <c r="X73" s="1"/>
      <c r="Y73" s="1"/>
      <c r="Z73" s="1"/>
      <c r="AA73" s="1"/>
    </row>
    <row r="74" spans="1:27" ht="14" thickBot="1">
      <c r="A74" s="1"/>
      <c r="B74" s="1"/>
      <c r="C74" s="1"/>
      <c r="D74" s="1"/>
      <c r="E74" s="1"/>
      <c r="F74" s="1"/>
      <c r="G74" s="1"/>
      <c r="H74" s="1"/>
      <c r="I74" s="1"/>
      <c r="J74" s="1"/>
      <c r="K74" s="1"/>
      <c r="L74" s="1"/>
      <c r="M74" s="1"/>
      <c r="N74" s="1"/>
      <c r="O74" s="1"/>
      <c r="P74" s="1"/>
      <c r="Q74" s="1"/>
      <c r="R74" s="1"/>
      <c r="S74" s="1"/>
      <c r="T74" s="1"/>
      <c r="U74" s="1"/>
      <c r="V74" s="1"/>
      <c r="W74" s="1"/>
      <c r="X74" s="1"/>
      <c r="Y74" s="1"/>
      <c r="Z74" s="1"/>
      <c r="AA74" s="1"/>
    </row>
    <row r="75" spans="1:27" ht="19" thickBot="1">
      <c r="A75" s="1"/>
      <c r="B75" s="1"/>
      <c r="C75" s="1"/>
      <c r="D75" s="1"/>
      <c r="E75" s="321" t="s">
        <v>310</v>
      </c>
      <c r="F75" s="1"/>
      <c r="G75" s="378" t="s">
        <v>401</v>
      </c>
      <c r="H75" s="1" t="s">
        <v>405</v>
      </c>
      <c r="I75" s="1"/>
      <c r="J75" s="1"/>
      <c r="K75" s="1"/>
      <c r="L75" s="1"/>
      <c r="M75" s="1"/>
      <c r="N75" s="1"/>
      <c r="O75" s="1"/>
      <c r="P75" s="1"/>
      <c r="Q75" s="1"/>
      <c r="R75" s="1"/>
      <c r="S75" s="1"/>
      <c r="T75" s="1"/>
      <c r="U75" s="1"/>
      <c r="V75" s="1"/>
      <c r="W75" s="1"/>
      <c r="X75" s="1"/>
      <c r="Y75" s="1"/>
      <c r="Z75" s="1"/>
      <c r="AA75" s="1"/>
    </row>
    <row r="76" spans="1:27">
      <c r="A76" s="1"/>
      <c r="B76" s="1"/>
      <c r="C76" s="1"/>
      <c r="D76" s="1"/>
      <c r="E76" s="105" t="s">
        <v>401</v>
      </c>
      <c r="F76" s="1"/>
      <c r="G76" s="1"/>
      <c r="H76" s="1"/>
      <c r="I76" s="1"/>
      <c r="J76" s="1"/>
      <c r="K76" s="1"/>
      <c r="L76" s="1"/>
      <c r="M76" s="1"/>
      <c r="N76" s="1"/>
      <c r="O76" s="107" t="s">
        <v>144</v>
      </c>
      <c r="P76" s="1"/>
      <c r="Q76" s="1"/>
      <c r="R76" s="1"/>
      <c r="S76" s="1"/>
      <c r="T76" s="1"/>
      <c r="U76" s="1"/>
      <c r="V76" s="1"/>
      <c r="W76" s="1"/>
      <c r="X76" s="1"/>
      <c r="Y76" s="1"/>
      <c r="Z76" s="1"/>
      <c r="AA76" s="1"/>
    </row>
    <row r="77" spans="1:27" ht="16">
      <c r="A77" s="1"/>
      <c r="B77" s="1"/>
      <c r="C77" s="1"/>
      <c r="D77" s="1"/>
      <c r="E77" s="69" t="s">
        <v>3</v>
      </c>
      <c r="F77" s="1"/>
      <c r="G77" s="1"/>
      <c r="H77" s="1"/>
      <c r="I77" s="1"/>
      <c r="J77" s="111" t="s">
        <v>142</v>
      </c>
      <c r="K77" s="1"/>
      <c r="L77" s="1"/>
      <c r="M77" s="1"/>
      <c r="N77" s="1"/>
      <c r="O77" s="1"/>
      <c r="P77" s="1"/>
      <c r="Q77" s="1"/>
      <c r="R77" s="1"/>
      <c r="S77" s="1"/>
      <c r="T77" s="1"/>
      <c r="U77" s="1"/>
      <c r="V77" s="1"/>
      <c r="W77" s="1"/>
      <c r="X77" s="1"/>
      <c r="Y77" s="1"/>
      <c r="Z77" s="1"/>
      <c r="AA77" s="1"/>
    </row>
    <row r="78" spans="1:27">
      <c r="A78" s="1"/>
      <c r="B78" s="1" t="s">
        <v>3</v>
      </c>
      <c r="C78" s="1"/>
      <c r="D78" s="1"/>
      <c r="E78" s="1"/>
      <c r="F78" s="1"/>
      <c r="G78" s="1"/>
      <c r="H78" s="1"/>
      <c r="I78" s="1"/>
      <c r="J78" s="1"/>
      <c r="K78" s="1"/>
      <c r="L78" s="1"/>
      <c r="M78" s="1"/>
      <c r="N78" s="1"/>
      <c r="O78" s="1"/>
      <c r="P78" s="1"/>
      <c r="Q78" s="1"/>
      <c r="R78" s="1"/>
      <c r="S78" s="1"/>
      <c r="T78" s="1"/>
      <c r="U78" s="1"/>
      <c r="V78" s="1"/>
      <c r="W78" s="1"/>
      <c r="X78" s="1"/>
      <c r="Y78" s="1"/>
      <c r="Z78" s="1"/>
      <c r="AA78" s="1"/>
    </row>
    <row r="79" spans="1:27">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c r="A80" s="1"/>
      <c r="B80" s="1"/>
      <c r="C80" s="1"/>
      <c r="D80" s="1"/>
      <c r="E80" s="1"/>
      <c r="F80" s="1"/>
      <c r="G80" s="1"/>
      <c r="H80" s="1"/>
      <c r="I80" s="1"/>
      <c r="J80" s="1"/>
      <c r="K80" s="1"/>
      <c r="L80" s="1"/>
      <c r="M80" s="1"/>
      <c r="N80" s="1"/>
      <c r="O80" s="1"/>
      <c r="P80" s="1"/>
      <c r="Q80" s="1"/>
      <c r="R80" s="1"/>
      <c r="S80" s="1"/>
      <c r="T80" s="1"/>
      <c r="U80" s="1"/>
      <c r="V80" s="1"/>
      <c r="W80" s="1"/>
      <c r="X80" s="1"/>
      <c r="Y80" s="1"/>
      <c r="Z80" s="1"/>
      <c r="AA80" s="1"/>
    </row>
    <row r="81" spans="1:27">
      <c r="A81" s="1"/>
      <c r="B81" s="1"/>
      <c r="C81" s="1"/>
      <c r="D81" s="1"/>
      <c r="E81" s="1"/>
      <c r="F81" s="1"/>
      <c r="G81" s="1"/>
      <c r="H81" s="1"/>
      <c r="I81" s="1"/>
      <c r="J81" s="1"/>
      <c r="K81" s="1"/>
      <c r="L81" s="1"/>
      <c r="M81" s="1"/>
      <c r="N81" s="1"/>
      <c r="O81" s="1"/>
      <c r="P81" s="1"/>
      <c r="Q81" s="1"/>
      <c r="R81" s="1"/>
      <c r="S81" s="1"/>
      <c r="T81" s="1"/>
      <c r="U81" s="1"/>
      <c r="V81" s="1"/>
      <c r="W81" s="1"/>
      <c r="X81" s="1"/>
      <c r="Y81" s="1"/>
      <c r="Z81" s="1"/>
      <c r="AA81" s="1"/>
    </row>
    <row r="82" spans="1:27">
      <c r="A82" s="1"/>
      <c r="B82" s="1"/>
      <c r="C82" s="1"/>
      <c r="D82" s="1"/>
      <c r="E82" s="1"/>
      <c r="F82" s="1"/>
      <c r="G82" s="1"/>
      <c r="H82" s="1"/>
      <c r="I82" s="1"/>
      <c r="J82" s="1"/>
      <c r="K82" s="1"/>
      <c r="L82" s="1"/>
      <c r="M82" s="1"/>
      <c r="N82" s="1"/>
      <c r="O82" s="1"/>
      <c r="P82" s="1"/>
      <c r="Q82" s="1"/>
      <c r="R82" s="1"/>
      <c r="S82" s="1"/>
      <c r="T82" s="1"/>
      <c r="U82" s="1"/>
      <c r="V82" s="1"/>
      <c r="W82" s="1"/>
      <c r="X82" s="1"/>
      <c r="Y82" s="1"/>
      <c r="Z82" s="1"/>
      <c r="AA82" s="1"/>
    </row>
    <row r="83" spans="1:27">
      <c r="A83" s="1"/>
      <c r="B83" s="1"/>
      <c r="C83" s="1"/>
      <c r="D83" s="1"/>
      <c r="E83" s="1"/>
      <c r="F83" s="1"/>
      <c r="G83" s="1"/>
      <c r="H83" s="1"/>
      <c r="I83" s="1"/>
      <c r="J83" s="1"/>
      <c r="K83" s="1"/>
      <c r="L83" s="1"/>
      <c r="M83" s="1"/>
      <c r="N83" s="1"/>
      <c r="O83" s="1"/>
      <c r="P83" s="1"/>
      <c r="Q83" s="1"/>
      <c r="R83" s="1"/>
      <c r="S83" s="1"/>
      <c r="T83" s="1"/>
      <c r="U83" s="1"/>
      <c r="V83" s="1"/>
      <c r="W83" s="1"/>
      <c r="X83" s="1"/>
      <c r="Y83" s="1"/>
      <c r="Z83" s="1"/>
      <c r="AA83" s="1"/>
    </row>
    <row r="84" spans="1:27">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ht="14" thickBot="1">
      <c r="A85" s="1"/>
      <c r="B85" s="1"/>
      <c r="C85" s="1"/>
      <c r="D85" s="1"/>
      <c r="E85" s="1"/>
      <c r="F85" s="1"/>
      <c r="G85" s="1"/>
      <c r="H85" s="1"/>
      <c r="I85" s="1"/>
      <c r="J85" s="1"/>
      <c r="K85" s="1"/>
      <c r="L85" s="1"/>
      <c r="M85" s="1"/>
      <c r="N85" s="1"/>
      <c r="O85" s="1"/>
      <c r="P85" s="1"/>
      <c r="Q85" s="1"/>
      <c r="R85" s="1"/>
      <c r="S85" s="1"/>
      <c r="T85" s="1"/>
      <c r="U85" s="1"/>
      <c r="V85" s="1"/>
      <c r="W85" s="1"/>
      <c r="X85" s="1"/>
      <c r="Y85" s="1"/>
      <c r="Z85" s="1"/>
      <c r="AA85" s="1"/>
    </row>
    <row r="86" spans="1:27" ht="14" thickBot="1">
      <c r="A86" s="1"/>
      <c r="B86" s="1"/>
      <c r="C86" s="1004" t="s">
        <v>147</v>
      </c>
      <c r="D86" s="1005"/>
      <c r="E86" s="1"/>
      <c r="F86" s="1"/>
      <c r="G86" s="1"/>
      <c r="H86" s="233">
        <v>0.2</v>
      </c>
      <c r="I86" s="69"/>
      <c r="J86" s="1"/>
      <c r="K86" s="1"/>
      <c r="L86" s="1"/>
      <c r="M86" s="1"/>
      <c r="N86" s="1"/>
      <c r="O86" s="1" t="s">
        <v>153</v>
      </c>
      <c r="P86" s="1"/>
      <c r="Q86" s="1"/>
      <c r="R86" s="1"/>
      <c r="S86" s="1"/>
      <c r="T86" s="1"/>
      <c r="U86" s="1"/>
      <c r="V86" s="1"/>
      <c r="W86" s="1"/>
      <c r="X86" s="1"/>
      <c r="Y86" s="1"/>
      <c r="Z86" s="1"/>
      <c r="AA86" s="1"/>
    </row>
    <row r="87" spans="1:27">
      <c r="A87" s="1"/>
      <c r="B87" s="1"/>
      <c r="C87" s="1"/>
      <c r="D87" s="1"/>
      <c r="E87" s="1"/>
      <c r="F87" s="1"/>
      <c r="G87" s="1"/>
      <c r="H87" s="116" t="s">
        <v>156</v>
      </c>
      <c r="I87" s="1"/>
      <c r="J87" s="1"/>
      <c r="K87" s="1"/>
      <c r="L87" s="1"/>
      <c r="M87" s="1"/>
      <c r="N87" s="1"/>
      <c r="O87" s="1"/>
      <c r="P87" s="1"/>
      <c r="Q87" s="1"/>
      <c r="R87" s="1"/>
      <c r="S87" s="1"/>
      <c r="T87" s="1"/>
      <c r="U87" s="1"/>
      <c r="V87" s="1"/>
      <c r="W87" s="1"/>
      <c r="X87" s="1"/>
      <c r="Y87" s="1"/>
      <c r="Z87" s="1"/>
      <c r="AA87" s="1"/>
    </row>
    <row r="88" spans="1:27" ht="14" thickBot="1">
      <c r="A88" s="1"/>
      <c r="B88" s="1"/>
      <c r="C88" s="1"/>
      <c r="D88" s="1"/>
      <c r="E88" s="1"/>
      <c r="F88" s="1"/>
      <c r="G88" s="1"/>
      <c r="H88" s="1"/>
      <c r="I88" s="1"/>
      <c r="J88" s="74" t="s">
        <v>157</v>
      </c>
      <c r="K88" s="1"/>
      <c r="L88" s="1"/>
      <c r="M88" s="1"/>
      <c r="N88" s="1"/>
      <c r="O88" s="1"/>
      <c r="P88" s="1"/>
      <c r="Q88" s="1"/>
      <c r="R88" s="1"/>
      <c r="S88" s="1"/>
      <c r="T88" s="1"/>
      <c r="U88" s="1"/>
      <c r="V88" s="1"/>
      <c r="W88" s="1"/>
      <c r="X88" s="1"/>
      <c r="Y88" s="1"/>
      <c r="Z88" s="1"/>
      <c r="AA88" s="1"/>
    </row>
    <row r="89" spans="1:27" ht="14" thickBot="1">
      <c r="A89" s="1"/>
      <c r="B89" s="1"/>
      <c r="C89" s="1004" t="s">
        <v>150</v>
      </c>
      <c r="D89" s="1005"/>
      <c r="E89" s="1"/>
      <c r="F89" s="1"/>
      <c r="G89" s="1"/>
      <c r="H89" s="1"/>
      <c r="I89" s="1"/>
      <c r="J89" s="233">
        <v>0.7</v>
      </c>
      <c r="K89" s="1"/>
      <c r="L89" s="1"/>
      <c r="M89" s="1"/>
      <c r="N89" s="1"/>
      <c r="O89" s="1"/>
      <c r="P89" s="1"/>
      <c r="Q89" s="1"/>
      <c r="R89" s="1"/>
      <c r="S89" s="1"/>
      <c r="T89" s="1"/>
      <c r="U89" s="1"/>
      <c r="V89" s="1"/>
      <c r="W89" s="1"/>
      <c r="X89" s="1"/>
      <c r="Y89" s="1"/>
      <c r="Z89" s="1"/>
      <c r="AA89" s="1"/>
    </row>
    <row r="90" spans="1:27">
      <c r="A90" s="1"/>
      <c r="B90" s="1"/>
      <c r="C90" s="1"/>
      <c r="D90" s="1"/>
      <c r="E90" s="1"/>
      <c r="F90" s="1"/>
      <c r="G90" s="1"/>
      <c r="H90" s="1"/>
      <c r="I90" s="1"/>
      <c r="J90" s="108" t="s">
        <v>3</v>
      </c>
      <c r="K90" s="1"/>
      <c r="L90" s="1"/>
      <c r="M90" s="1"/>
      <c r="N90" s="1"/>
      <c r="O90" s="1"/>
      <c r="P90" s="1"/>
      <c r="Q90" s="1"/>
      <c r="R90" s="1"/>
      <c r="S90" s="1"/>
      <c r="T90" s="1"/>
      <c r="U90" s="1"/>
      <c r="V90" s="1"/>
      <c r="W90" s="1"/>
      <c r="X90" s="1"/>
      <c r="Y90" s="1"/>
      <c r="Z90" s="1"/>
      <c r="AA90" s="1"/>
    </row>
    <row r="91" spans="1:27">
      <c r="A91" s="1"/>
      <c r="B91" s="1"/>
      <c r="C91" s="1"/>
      <c r="D91" s="1"/>
      <c r="E91" s="1"/>
      <c r="F91" s="1"/>
      <c r="G91" s="1"/>
      <c r="H91" s="1"/>
      <c r="I91" s="1"/>
      <c r="J91" s="1"/>
      <c r="K91" s="1"/>
      <c r="L91" s="1"/>
      <c r="M91" s="1"/>
      <c r="N91" s="1"/>
      <c r="O91" s="1"/>
      <c r="P91" s="1"/>
      <c r="Q91" s="1"/>
      <c r="R91" s="1"/>
      <c r="S91" s="1"/>
      <c r="T91" s="1"/>
      <c r="U91" s="1"/>
      <c r="V91" s="1"/>
      <c r="W91" s="1"/>
      <c r="X91" s="1"/>
      <c r="Y91" s="1"/>
      <c r="Z91" s="1"/>
      <c r="AA91" s="1"/>
    </row>
    <row r="92" spans="1:27" ht="14" thickBot="1">
      <c r="A92" s="1"/>
      <c r="B92" s="1"/>
      <c r="C92" s="1006" t="s">
        <v>3</v>
      </c>
      <c r="D92" s="1006"/>
      <c r="E92" s="1"/>
      <c r="F92" s="1"/>
      <c r="G92" s="1"/>
      <c r="H92" s="1"/>
      <c r="I92" s="1"/>
      <c r="J92" s="1"/>
      <c r="K92" s="1"/>
      <c r="L92" s="1"/>
      <c r="M92" s="1"/>
      <c r="N92" s="1"/>
      <c r="O92" s="1"/>
      <c r="P92" s="1"/>
      <c r="Q92" s="1"/>
      <c r="R92" s="1"/>
      <c r="S92" s="1"/>
      <c r="T92" s="1"/>
      <c r="U92" s="1"/>
      <c r="V92" s="1"/>
      <c r="W92" s="1"/>
      <c r="X92" s="1"/>
      <c r="Y92" s="1"/>
      <c r="Z92" s="1"/>
      <c r="AA92" s="1"/>
    </row>
    <row r="93" spans="1:27" ht="14" thickBot="1">
      <c r="A93" s="1"/>
      <c r="B93" s="1"/>
      <c r="C93" s="1007" t="s">
        <v>155</v>
      </c>
      <c r="D93" s="1008"/>
      <c r="E93" s="1009"/>
      <c r="F93" s="1"/>
      <c r="G93" s="1"/>
      <c r="H93" s="1"/>
      <c r="I93" s="1"/>
      <c r="J93" s="1"/>
      <c r="K93" s="1"/>
      <c r="L93" s="1"/>
      <c r="M93" s="353">
        <v>210</v>
      </c>
      <c r="N93" s="1"/>
      <c r="O93" s="1"/>
      <c r="P93" s="1"/>
      <c r="Q93" s="1"/>
      <c r="R93" s="1"/>
      <c r="S93" s="1"/>
      <c r="T93" s="1"/>
      <c r="U93" s="1"/>
      <c r="V93" s="1"/>
      <c r="W93" s="1"/>
      <c r="X93" s="1"/>
      <c r="Y93" s="1"/>
      <c r="Z93" s="1"/>
      <c r="AA93" s="1"/>
    </row>
    <row r="94" spans="1:27">
      <c r="A94" s="1"/>
      <c r="B94" s="1"/>
      <c r="C94" s="1"/>
      <c r="D94" s="1"/>
      <c r="E94" s="1"/>
      <c r="F94" s="1"/>
      <c r="G94" s="1"/>
      <c r="H94" s="1"/>
      <c r="I94" s="1"/>
      <c r="J94" s="1"/>
      <c r="K94" s="1"/>
      <c r="L94" s="1"/>
      <c r="M94" s="74" t="s">
        <v>155</v>
      </c>
      <c r="N94" s="1"/>
      <c r="O94" s="1"/>
      <c r="P94" s="1"/>
      <c r="Q94" s="1"/>
      <c r="R94" s="1"/>
      <c r="S94" s="1"/>
      <c r="T94" s="1"/>
      <c r="U94" s="1"/>
      <c r="V94" s="1"/>
      <c r="W94" s="1"/>
      <c r="X94" s="1"/>
      <c r="Y94" s="1"/>
      <c r="Z94" s="1"/>
      <c r="AA94" s="1"/>
    </row>
    <row r="95" spans="1:27">
      <c r="A95" s="1"/>
      <c r="B95" s="1"/>
      <c r="C95" s="1006" t="s">
        <v>3</v>
      </c>
      <c r="D95" s="1006"/>
      <c r="E95" s="1006"/>
      <c r="F95" s="1"/>
      <c r="G95" s="1"/>
      <c r="H95" s="1"/>
      <c r="I95" s="1"/>
      <c r="J95" s="1"/>
      <c r="K95" s="1"/>
      <c r="L95" s="1"/>
      <c r="M95" s="112"/>
      <c r="N95" s="1"/>
      <c r="O95" s="1"/>
      <c r="P95" s="1"/>
      <c r="Q95" s="1"/>
      <c r="R95" s="1"/>
      <c r="S95" s="1"/>
      <c r="T95" s="1"/>
      <c r="U95" s="1"/>
      <c r="V95" s="1"/>
      <c r="W95" s="1"/>
      <c r="X95" s="1"/>
      <c r="Y95" s="1"/>
      <c r="Z95" s="1"/>
      <c r="AA95" s="1"/>
    </row>
    <row r="96" spans="1:27">
      <c r="A96" s="1"/>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c r="A98" s="1"/>
      <c r="B98" s="1"/>
      <c r="C98" s="1"/>
      <c r="D98" s="1"/>
      <c r="E98" s="1"/>
      <c r="F98" s="1"/>
      <c r="G98" s="1"/>
      <c r="H98" s="1"/>
      <c r="I98" s="1"/>
      <c r="J98" s="1"/>
      <c r="K98" s="1"/>
      <c r="L98" s="1"/>
      <c r="M98" s="1"/>
      <c r="N98" s="1"/>
      <c r="O98" s="1"/>
      <c r="P98" s="1"/>
      <c r="Q98" s="1"/>
      <c r="R98" s="1"/>
      <c r="S98" s="1"/>
      <c r="T98" s="1"/>
      <c r="U98" s="1"/>
      <c r="V98" s="1"/>
      <c r="W98" s="1"/>
      <c r="X98" s="1"/>
      <c r="Y98" s="1"/>
      <c r="Z98" s="1"/>
      <c r="AA98" s="1"/>
    </row>
    <row r="99" spans="1:27">
      <c r="A99" s="1"/>
      <c r="B99" s="1"/>
      <c r="C99" s="1"/>
      <c r="D99" s="1"/>
      <c r="E99" s="1"/>
      <c r="F99" s="1"/>
      <c r="G99" s="1"/>
      <c r="H99" s="1"/>
      <c r="I99" s="1"/>
      <c r="J99" s="1"/>
      <c r="K99" s="1"/>
      <c r="L99" s="1"/>
      <c r="M99" s="1"/>
      <c r="N99" s="1"/>
      <c r="O99" s="1"/>
      <c r="P99" s="1"/>
      <c r="Q99" s="1"/>
      <c r="R99" s="1"/>
      <c r="S99" s="1"/>
      <c r="T99" s="1"/>
      <c r="U99" s="1"/>
      <c r="V99" s="1"/>
      <c r="W99" s="1"/>
      <c r="X99" s="1"/>
      <c r="Y99" s="1"/>
      <c r="Z99" s="1"/>
      <c r="AA99" s="1"/>
    </row>
    <row r="100" spans="1:27">
      <c r="A100" s="1"/>
      <c r="B100" s="1"/>
      <c r="C100" s="1013" t="s">
        <v>159</v>
      </c>
      <c r="D100" s="1014"/>
      <c r="E100" s="1015"/>
      <c r="F100" s="1"/>
      <c r="G100" s="1"/>
      <c r="H100" s="140" t="s">
        <v>169</v>
      </c>
      <c r="I100" s="1"/>
      <c r="J100" s="141" t="e">
        <f ca="1">'9-Downlink Budget'!C39</f>
        <v>#NAME?</v>
      </c>
      <c r="K100" s="1"/>
      <c r="L100" s="1"/>
      <c r="M100" s="1"/>
      <c r="N100" s="1"/>
      <c r="O100" s="1"/>
      <c r="P100" s="1"/>
      <c r="Q100" s="1"/>
      <c r="R100" s="1"/>
      <c r="S100" s="1"/>
      <c r="T100" s="1"/>
      <c r="U100" s="1"/>
      <c r="V100" s="1"/>
      <c r="W100" s="1"/>
      <c r="X100" s="1"/>
      <c r="Y100" s="1"/>
      <c r="Z100" s="1"/>
      <c r="AA100" s="1"/>
    </row>
    <row r="101" spans="1:27">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row>
    <row r="103" spans="1:27">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row>
    <row r="104" spans="1:27">
      <c r="A104" s="1"/>
      <c r="B104" s="1"/>
      <c r="C104" s="1016" t="s">
        <v>44</v>
      </c>
      <c r="D104" s="1017"/>
      <c r="E104" s="1017"/>
      <c r="F104" s="1018"/>
      <c r="G104" s="1"/>
      <c r="H104" s="140" t="s">
        <v>169</v>
      </c>
      <c r="I104" s="1"/>
      <c r="J104" s="117">
        <f>'9-Downlink Budget'!C37</f>
        <v>0.81283051616409918</v>
      </c>
      <c r="K104" s="1"/>
      <c r="L104" s="1"/>
      <c r="M104" s="1"/>
      <c r="N104" s="1"/>
      <c r="O104" s="1"/>
      <c r="P104" s="1"/>
      <c r="Q104" s="1"/>
      <c r="R104" s="1"/>
      <c r="S104" s="1"/>
      <c r="T104" s="1"/>
      <c r="U104" s="1"/>
      <c r="V104" s="1"/>
      <c r="W104" s="1"/>
      <c r="X104" s="1"/>
      <c r="Y104" s="1"/>
      <c r="Z104" s="1"/>
      <c r="AA104" s="1"/>
    </row>
    <row r="105" spans="1:27">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row>
    <row r="106" spans="1:27">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row>
    <row r="107" spans="1:27" ht="14" thickBo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row>
    <row r="108" spans="1:27" ht="14" thickBot="1">
      <c r="A108" s="1"/>
      <c r="B108" s="1"/>
      <c r="C108" s="998" t="s">
        <v>170</v>
      </c>
      <c r="D108" s="999"/>
      <c r="E108" s="1000"/>
      <c r="F108" s="1"/>
      <c r="G108" s="1"/>
      <c r="H108" s="140" t="s">
        <v>169</v>
      </c>
      <c r="I108" s="1"/>
      <c r="J108" s="122" t="e">
        <f ca="1">'9-Downlink Budget'!C41</f>
        <v>#NAME?</v>
      </c>
      <c r="K108" s="1"/>
      <c r="L108" s="1"/>
      <c r="M108" s="1"/>
      <c r="N108" s="1"/>
      <c r="O108" s="1"/>
      <c r="P108" s="1"/>
      <c r="Q108" s="1"/>
      <c r="R108" s="1"/>
      <c r="S108" s="1"/>
      <c r="T108" s="1"/>
      <c r="U108" s="1"/>
      <c r="V108" s="1"/>
      <c r="W108" s="1"/>
      <c r="X108" s="1"/>
      <c r="Y108" s="1"/>
      <c r="Z108" s="1"/>
      <c r="AA108" s="1"/>
    </row>
    <row r="109" spans="1:27">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row>
    <row r="110" spans="1:27">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row>
    <row r="111" spans="1:27">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row>
    <row r="112" spans="1:27">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row>
    <row r="113" spans="1:27">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row>
    <row r="114" spans="1:27">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row>
    <row r="115" spans="1:27">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row>
    <row r="116" spans="1:27">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row>
    <row r="117" spans="1:27">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row>
    <row r="118" spans="1:27">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row>
    <row r="119" spans="1:27">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row>
    <row r="120" spans="1:27">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row>
    <row r="121" spans="1:27">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row>
    <row r="122" spans="1:27">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row>
    <row r="123" spans="1:27">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row>
    <row r="124" spans="1:27">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row>
    <row r="125" spans="1:27">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row>
    <row r="126" spans="1:27">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row>
    <row r="127" spans="1:27">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row>
    <row r="128" spans="1:27">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row>
    <row r="129" spans="1:27">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row>
    <row r="130" spans="1:27">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row>
    <row r="131" spans="1:27">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row>
    <row r="132" spans="1:27">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row>
    <row r="133" spans="1:27">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row>
    <row r="134" spans="1:27">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row>
    <row r="135" spans="1:27">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row>
    <row r="136" spans="1:27">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row>
    <row r="137" spans="1:27">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row>
    <row r="138" spans="1:27">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row>
    <row r="139" spans="1:27">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row>
    <row r="140" spans="1:27">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row>
    <row r="141" spans="1:27">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row>
    <row r="142" spans="1:27">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row>
    <row r="143" spans="1:27">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row>
    <row r="144" spans="1:27">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row>
    <row r="145" spans="1:27">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row>
    <row r="146" spans="1:27">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row>
    <row r="147" spans="1:27">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row>
    <row r="148" spans="1:27">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row>
    <row r="149" spans="1:27">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row>
    <row r="150" spans="1:27">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row>
    <row r="151" spans="1:27">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row>
    <row r="152" spans="1:27">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row>
    <row r="153" spans="1:27">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row>
    <row r="154" spans="1:27">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row>
    <row r="155" spans="1:27">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row>
    <row r="156" spans="1:27">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row>
    <row r="157" spans="1:27">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row>
    <row r="158" spans="1:27">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row>
    <row r="159" spans="1:27">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row>
    <row r="160" spans="1:27">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row>
    <row r="161" spans="1:27">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row>
    <row r="162" spans="1:27">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row>
    <row r="163" spans="1:27">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row>
    <row r="164" spans="1:27">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row>
    <row r="165" spans="1:27">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row>
    <row r="166" spans="1:27">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row>
    <row r="167" spans="1:27">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row>
    <row r="168" spans="1:27">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row>
    <row r="169" spans="1:27">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row>
    <row r="170" spans="1:27">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row>
    <row r="171" spans="1:27">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row>
    <row r="172" spans="1:27">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row>
    <row r="173" spans="1:27">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row>
    <row r="174" spans="1:27">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row>
    <row r="175" spans="1:27">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row>
    <row r="176" spans="1:27">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row>
    <row r="177" spans="1:27">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row>
    <row r="178" spans="1:27">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row>
    <row r="179" spans="1:27">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row>
    <row r="180" spans="1:27">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row>
    <row r="181" spans="1:27">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row>
    <row r="182" spans="1:27">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row>
    <row r="183" spans="1:27">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row>
    <row r="184" spans="1:27">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row>
    <row r="185" spans="1:27">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row>
    <row r="186" spans="1:27">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row>
    <row r="187" spans="1:27">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row>
    <row r="188" spans="1:27">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row>
    <row r="189" spans="1:27">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row>
    <row r="190" spans="1:27">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row>
    <row r="191" spans="1:27">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row>
    <row r="192" spans="1:27">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row>
    <row r="193" spans="1:27">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row>
    <row r="194" spans="1:27">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row>
    <row r="195" spans="1:27">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row>
    <row r="196" spans="1:27">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row>
    <row r="197" spans="1:27">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row>
    <row r="198" spans="1:27">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row>
    <row r="199" spans="1:27">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row>
    <row r="200" spans="1:27">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row>
  </sheetData>
  <mergeCells count="19">
    <mergeCell ref="C34:D34"/>
    <mergeCell ref="C40:E40"/>
    <mergeCell ref="C37:E37"/>
    <mergeCell ref="C7:D7"/>
    <mergeCell ref="C4:E4"/>
    <mergeCell ref="C31:D31"/>
    <mergeCell ref="C108:E108"/>
    <mergeCell ref="C42:E42"/>
    <mergeCell ref="C89:D89"/>
    <mergeCell ref="C92:D92"/>
    <mergeCell ref="C95:E95"/>
    <mergeCell ref="C86:D86"/>
    <mergeCell ref="C93:E93"/>
    <mergeCell ref="C56:E56"/>
    <mergeCell ref="C100:E100"/>
    <mergeCell ref="C104:F104"/>
    <mergeCell ref="C62:D62"/>
    <mergeCell ref="C58:D58"/>
    <mergeCell ref="C51:E51"/>
  </mergeCells>
  <phoneticPr fontId="0" type="noConversion"/>
  <pageMargins left="0.7" right="0.7" top="0.75" bottom="0.75" header="0.3" footer="0.3"/>
  <pageSetup orientation="portrait" horizontalDpi="1200" verticalDpi="1200"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rgb="FF92D050"/>
  </sheetPr>
  <dimension ref="A1:S68"/>
  <sheetViews>
    <sheetView zoomScale="120" zoomScaleNormal="120" workbookViewId="0">
      <selection activeCell="C2" sqref="C2"/>
    </sheetView>
  </sheetViews>
  <sheetFormatPr baseColWidth="10" defaultColWidth="8.83203125" defaultRowHeight="13"/>
  <cols>
    <col min="2" max="2" width="58.33203125" customWidth="1"/>
    <col min="3" max="3" width="14.33203125" bestFit="1" customWidth="1"/>
    <col min="4" max="4" width="11" customWidth="1"/>
    <col min="5" max="5" width="19.33203125" customWidth="1"/>
    <col min="9" max="9" width="12" customWidth="1"/>
    <col min="10" max="10" width="9.33203125" customWidth="1"/>
    <col min="12" max="12" width="11.5" customWidth="1"/>
  </cols>
  <sheetData>
    <row r="1" spans="1:19" ht="28">
      <c r="A1" s="713" t="s">
        <v>648</v>
      </c>
      <c r="B1" s="602" t="s">
        <v>585</v>
      </c>
      <c r="C1" s="36"/>
      <c r="D1" s="36"/>
      <c r="E1" s="330" t="str">
        <f>'1-Title Page'!F7</f>
        <v>Jan A. King/ W3GEY, Brian R. Jones</v>
      </c>
      <c r="F1" s="45"/>
      <c r="G1" s="45" t="s">
        <v>2</v>
      </c>
      <c r="H1" s="45"/>
      <c r="I1" s="45"/>
      <c r="J1" s="36"/>
      <c r="K1" s="36"/>
      <c r="L1" s="36"/>
      <c r="M1" s="36"/>
      <c r="N1" s="36"/>
      <c r="O1" s="36"/>
      <c r="P1" s="36"/>
      <c r="Q1" s="36"/>
    </row>
    <row r="2" spans="1:19" ht="20">
      <c r="A2" s="36"/>
      <c r="B2" s="37" t="s">
        <v>581</v>
      </c>
      <c r="C2" s="94" t="s">
        <v>140</v>
      </c>
      <c r="D2" s="36"/>
      <c r="E2" s="45" t="str">
        <f>'1-Title Page'!G1</f>
        <v xml:space="preserve"> Version: 7.0.3</v>
      </c>
      <c r="F2" s="45"/>
      <c r="G2" s="45" t="str">
        <f>'1-Title Page'!F23</f>
        <v>2025 February 16</v>
      </c>
      <c r="H2" s="45"/>
      <c r="I2" s="45"/>
      <c r="J2" s="75"/>
      <c r="K2" s="91" t="s">
        <v>122</v>
      </c>
      <c r="L2" s="146">
        <f>'5-Frequency'!C6</f>
        <v>24025</v>
      </c>
      <c r="M2" s="76" t="s">
        <v>28</v>
      </c>
      <c r="N2" s="36"/>
      <c r="O2" s="36"/>
      <c r="P2" s="36"/>
      <c r="Q2" s="36"/>
    </row>
    <row r="3" spans="1:19">
      <c r="A3" s="36"/>
      <c r="B3" s="36"/>
      <c r="C3" s="36"/>
      <c r="D3" s="36"/>
      <c r="E3" s="36"/>
      <c r="F3" s="36"/>
      <c r="G3" s="36"/>
      <c r="H3" s="36"/>
      <c r="I3" s="36"/>
      <c r="J3" s="36"/>
      <c r="K3" s="36"/>
      <c r="L3" s="36"/>
      <c r="M3" s="36"/>
      <c r="N3" s="36"/>
      <c r="O3" s="36"/>
      <c r="P3" s="36"/>
      <c r="Q3" s="36"/>
    </row>
    <row r="4" spans="1:19">
      <c r="A4" s="25"/>
      <c r="B4" s="20" t="s">
        <v>4</v>
      </c>
      <c r="C4" s="20" t="s">
        <v>5</v>
      </c>
      <c r="D4" s="20" t="s">
        <v>32</v>
      </c>
      <c r="E4" s="20" t="s">
        <v>33</v>
      </c>
      <c r="F4" s="25"/>
      <c r="G4" s="25"/>
      <c r="H4" s="25"/>
      <c r="I4" s="25"/>
      <c r="J4" s="25"/>
      <c r="K4" s="25"/>
      <c r="L4" s="25"/>
      <c r="M4" s="25"/>
      <c r="N4" s="25"/>
      <c r="O4" s="25"/>
      <c r="P4" s="25"/>
      <c r="Q4" s="25"/>
    </row>
    <row r="5" spans="1:19">
      <c r="A5" s="15"/>
      <c r="B5" s="24" t="s">
        <v>38</v>
      </c>
      <c r="C5" s="15"/>
      <c r="D5" s="15"/>
      <c r="E5" s="15"/>
      <c r="F5" s="15"/>
      <c r="G5" s="15"/>
      <c r="H5" s="15"/>
      <c r="I5" s="15"/>
      <c r="J5" s="15"/>
      <c r="K5" s="15"/>
      <c r="L5" s="15"/>
      <c r="M5" s="15"/>
      <c r="N5" s="15"/>
      <c r="O5" s="15"/>
      <c r="P5" s="15"/>
      <c r="Q5" s="15"/>
    </row>
    <row r="6" spans="1:19">
      <c r="B6" s="63" t="s">
        <v>96</v>
      </c>
      <c r="C6" s="65">
        <f>'7-User Terminal Set-Up'!M38</f>
        <v>1</v>
      </c>
      <c r="D6" t="s">
        <v>46</v>
      </c>
      <c r="E6" s="610" t="s">
        <v>739</v>
      </c>
    </row>
    <row r="7" spans="1:19">
      <c r="B7" s="13" t="s">
        <v>53</v>
      </c>
      <c r="C7" s="26">
        <f>10*LOG10(C6)</f>
        <v>0</v>
      </c>
      <c r="D7" t="s">
        <v>47</v>
      </c>
      <c r="S7" s="610" t="s">
        <v>3</v>
      </c>
    </row>
    <row r="8" spans="1:19">
      <c r="B8" s="13" t="s">
        <v>54</v>
      </c>
      <c r="C8" s="26">
        <f>C7+30</f>
        <v>30</v>
      </c>
      <c r="D8" t="s">
        <v>48</v>
      </c>
    </row>
    <row r="9" spans="1:19">
      <c r="B9" t="s">
        <v>672</v>
      </c>
      <c r="C9" s="65">
        <f>-('7-User Terminal Set-Up'!H31)</f>
        <v>-1</v>
      </c>
      <c r="D9" t="s">
        <v>31</v>
      </c>
    </row>
    <row r="10" spans="1:19">
      <c r="B10" s="63" t="s">
        <v>35</v>
      </c>
      <c r="C10" s="65">
        <f>-('7-User Terminal Set-Up'!J34)</f>
        <v>-0.8</v>
      </c>
      <c r="D10" t="s">
        <v>31</v>
      </c>
    </row>
    <row r="11" spans="1:19">
      <c r="B11" t="s">
        <v>372</v>
      </c>
      <c r="C11" s="65">
        <f>IF('7-User Terminal Set-Up'!G19="Yes",'7-User Terminal Set-Up'!G15,'7-User Terminal Set-Up'!L13)</f>
        <v>45.794780430648096</v>
      </c>
      <c r="D11" t="s">
        <v>49</v>
      </c>
      <c r="E11" s="610" t="s">
        <v>740</v>
      </c>
    </row>
    <row r="12" spans="1:19">
      <c r="B12" t="s">
        <v>61</v>
      </c>
      <c r="C12" s="27">
        <f>C7+C9+C10+C11</f>
        <v>43.994780430648099</v>
      </c>
      <c r="D12" t="s">
        <v>47</v>
      </c>
      <c r="E12" t="s">
        <v>60</v>
      </c>
    </row>
    <row r="13" spans="1:19">
      <c r="B13" t="s">
        <v>58</v>
      </c>
      <c r="C13" s="938">
        <f>-'7-User Terminal Set-Up'!N7</f>
        <v>-0.4</v>
      </c>
      <c r="D13" t="s">
        <v>31</v>
      </c>
    </row>
    <row r="14" spans="1:19">
      <c r="B14" s="24" t="s">
        <v>59</v>
      </c>
      <c r="C14" s="47"/>
      <c r="D14" s="15"/>
      <c r="E14" s="15"/>
      <c r="F14" s="15"/>
      <c r="G14" s="15"/>
      <c r="H14" s="15"/>
      <c r="I14" s="15"/>
      <c r="J14" s="15"/>
      <c r="K14" s="15"/>
      <c r="L14" s="15"/>
      <c r="M14" s="15"/>
      <c r="N14" s="15"/>
      <c r="O14" s="15"/>
      <c r="P14" s="15"/>
      <c r="Q14" s="15"/>
    </row>
    <row r="15" spans="1:19">
      <c r="B15" t="s">
        <v>37</v>
      </c>
      <c r="C15" s="229">
        <v>-0.23</v>
      </c>
      <c r="D15" t="s">
        <v>31</v>
      </c>
      <c r="E15" t="s">
        <v>514</v>
      </c>
    </row>
    <row r="16" spans="1:19">
      <c r="B16" t="s">
        <v>30</v>
      </c>
      <c r="C16" s="449">
        <f>-'5-Frequency'!H6</f>
        <v>-212.02056115883789</v>
      </c>
      <c r="D16" t="s">
        <v>31</v>
      </c>
    </row>
    <row r="17" spans="2:17">
      <c r="B17" s="312" t="s">
        <v>325</v>
      </c>
      <c r="C17" s="855" t="e">
        <f ca="1">-'11A-ITU P618-6 Uplink'!D30</f>
        <v>#NAME?</v>
      </c>
      <c r="D17" t="s">
        <v>31</v>
      </c>
    </row>
    <row r="18" spans="2:17">
      <c r="B18" s="313" t="s">
        <v>285</v>
      </c>
      <c r="C18" s="855" t="e">
        <f ca="1">-'11A-ITU P618-6 Uplink'!D31</f>
        <v>#NAME?</v>
      </c>
      <c r="D18" t="s">
        <v>31</v>
      </c>
    </row>
    <row r="19" spans="2:17">
      <c r="B19" s="313" t="s">
        <v>322</v>
      </c>
      <c r="C19" s="855" t="e">
        <f ca="1">-'11A-ITU P618-6 Uplink'!D32</f>
        <v>#NAME?</v>
      </c>
      <c r="D19" t="s">
        <v>31</v>
      </c>
      <c r="E19" t="s">
        <v>344</v>
      </c>
      <c r="K19" t="s">
        <v>3</v>
      </c>
    </row>
    <row r="20" spans="2:17">
      <c r="B20" s="313" t="s">
        <v>323</v>
      </c>
      <c r="C20" s="859" t="e">
        <f ca="1">'11A-ITU P618-6 Uplink'!D33</f>
        <v>#NAME?</v>
      </c>
      <c r="D20" t="s">
        <v>31</v>
      </c>
    </row>
    <row r="21" spans="2:17">
      <c r="B21" s="313" t="s">
        <v>451</v>
      </c>
      <c r="C21" s="860" t="e">
        <f ca="1">-'11A-ITU P618-6 Uplink'!G35</f>
        <v>#NAME?</v>
      </c>
      <c r="D21" t="s">
        <v>31</v>
      </c>
      <c r="K21" t="s">
        <v>3</v>
      </c>
    </row>
    <row r="22" spans="2:17">
      <c r="B22" s="475" t="s">
        <v>454</v>
      </c>
      <c r="C22" s="861" t="e">
        <f ca="1">-'11A-ITU P618-6 Uplink'!D35</f>
        <v>#NAME?</v>
      </c>
    </row>
    <row r="23" spans="2:17">
      <c r="B23" s="476" t="s">
        <v>452</v>
      </c>
      <c r="C23" s="27" t="e">
        <f ca="1">C12+SUM(C13:C16)+C21</f>
        <v>#NAME?</v>
      </c>
      <c r="D23" t="s">
        <v>47</v>
      </c>
      <c r="E23" s="96" t="e">
        <f ca="1">C23+30</f>
        <v>#NAME?</v>
      </c>
      <c r="F23" t="s">
        <v>48</v>
      </c>
    </row>
    <row r="24" spans="2:17">
      <c r="B24" s="477" t="s">
        <v>453</v>
      </c>
      <c r="C24" s="27" t="e">
        <f ca="1">C12+SUM(C13:C16)+C22</f>
        <v>#NAME?</v>
      </c>
      <c r="D24" t="s">
        <v>47</v>
      </c>
      <c r="F24" t="s">
        <v>3</v>
      </c>
    </row>
    <row r="25" spans="2:17">
      <c r="B25" s="24" t="s">
        <v>34</v>
      </c>
      <c r="C25" s="15"/>
      <c r="D25" s="15"/>
      <c r="E25" s="15"/>
      <c r="F25" s="15"/>
      <c r="G25" s="15"/>
      <c r="H25" s="15"/>
      <c r="I25" s="15"/>
      <c r="J25" s="23"/>
      <c r="K25" s="34"/>
      <c r="L25" s="34"/>
      <c r="M25" s="34"/>
      <c r="N25" s="38"/>
      <c r="O25" s="39"/>
      <c r="P25" s="39"/>
      <c r="Q25" s="39"/>
    </row>
    <row r="26" spans="2:17">
      <c r="B26" s="28" t="s">
        <v>97</v>
      </c>
      <c r="C26" s="855">
        <f>'4A-Orbit'!K37</f>
        <v>-3.032317630156677</v>
      </c>
      <c r="D26" t="s">
        <v>31</v>
      </c>
      <c r="E26" s="856" t="s">
        <v>753</v>
      </c>
      <c r="K26" s="26"/>
    </row>
    <row r="27" spans="2:17">
      <c r="B27" s="63" t="s">
        <v>98</v>
      </c>
      <c r="C27" s="65">
        <f>'6-SC TX &amp; RX Set-Up'!F68</f>
        <v>21.788020650825842</v>
      </c>
      <c r="D27" t="s">
        <v>49</v>
      </c>
      <c r="E27" t="s">
        <v>3</v>
      </c>
      <c r="I27" s="63" t="s">
        <v>3</v>
      </c>
      <c r="K27" s="26"/>
    </row>
    <row r="28" spans="2:17">
      <c r="B28" t="s">
        <v>63</v>
      </c>
      <c r="C28" s="65">
        <f>-('6-SC TX &amp; RX Set-Up'!F71)</f>
        <v>-0.2</v>
      </c>
      <c r="D28" t="s">
        <v>31</v>
      </c>
      <c r="F28" t="s">
        <v>3</v>
      </c>
      <c r="G28" s="63" t="s">
        <v>3</v>
      </c>
      <c r="I28" s="63" t="s">
        <v>3</v>
      </c>
    </row>
    <row r="29" spans="2:17">
      <c r="B29" s="63" t="s">
        <v>162</v>
      </c>
      <c r="C29" s="65">
        <f>-('6-SC TX &amp; RX Set-Up'!F74)</f>
        <v>-0.8</v>
      </c>
      <c r="D29" s="63" t="s">
        <v>31</v>
      </c>
      <c r="E29" s="63" t="s">
        <v>3</v>
      </c>
    </row>
    <row r="30" spans="2:17">
      <c r="B30" t="s">
        <v>64</v>
      </c>
      <c r="C30" s="63">
        <f>'6-SC TX &amp; RX Set-Up'!F77</f>
        <v>120</v>
      </c>
      <c r="D30" t="s">
        <v>50</v>
      </c>
      <c r="E30" s="63" t="s">
        <v>3</v>
      </c>
    </row>
    <row r="31" spans="2:17">
      <c r="B31" t="s">
        <v>65</v>
      </c>
      <c r="C31" s="63">
        <f>'6-SC TX &amp; RX Set-Up'!F80</f>
        <v>270</v>
      </c>
      <c r="D31" t="s">
        <v>50</v>
      </c>
    </row>
    <row r="32" spans="2:17">
      <c r="B32" t="s">
        <v>66</v>
      </c>
      <c r="C32" s="63">
        <f>'6-SC TX &amp; RX Set-Up'!F83</f>
        <v>250</v>
      </c>
      <c r="D32" t="s">
        <v>50</v>
      </c>
      <c r="E32" t="s">
        <v>444</v>
      </c>
      <c r="F32" s="63"/>
      <c r="K32" s="63" t="s">
        <v>3</v>
      </c>
    </row>
    <row r="33" spans="2:12">
      <c r="B33" t="s">
        <v>67</v>
      </c>
      <c r="C33" s="29">
        <f>POWER(10,(C28+C29)/10)</f>
        <v>0.79432823472428149</v>
      </c>
      <c r="K33" s="29"/>
    </row>
    <row r="34" spans="2:12">
      <c r="B34" t="s">
        <v>68</v>
      </c>
      <c r="C34" s="30">
        <f>C33*C32+(1-C33)*C31+C30</f>
        <v>374.11343530551437</v>
      </c>
      <c r="D34" t="s">
        <v>50</v>
      </c>
      <c r="K34" s="30"/>
      <c r="L34" s="63" t="s">
        <v>3</v>
      </c>
    </row>
    <row r="35" spans="2:12">
      <c r="B35" t="s">
        <v>69</v>
      </c>
      <c r="C35" s="26">
        <f>C27+C28+C29-10*LOG10(C34)</f>
        <v>-4.9420123994607792</v>
      </c>
      <c r="D35" t="s">
        <v>52</v>
      </c>
      <c r="K35" s="26"/>
    </row>
    <row r="36" spans="2:12">
      <c r="B36" s="35" t="s">
        <v>458</v>
      </c>
      <c r="C36" s="68" t="e">
        <f ca="1">C23+C26-G36+C35</f>
        <v>#NAME?</v>
      </c>
      <c r="D36" t="s">
        <v>57</v>
      </c>
      <c r="E36" s="31" t="s">
        <v>55</v>
      </c>
      <c r="F36" s="231" t="s">
        <v>112</v>
      </c>
      <c r="G36" s="32">
        <v>-228.6</v>
      </c>
      <c r="H36" s="33" t="s">
        <v>56</v>
      </c>
      <c r="K36" s="26"/>
    </row>
    <row r="37" spans="2:12">
      <c r="B37" s="35" t="s">
        <v>459</v>
      </c>
      <c r="C37" s="68" t="e">
        <f ca="1">C24+C26-G36+C35</f>
        <v>#NAME?</v>
      </c>
      <c r="D37" s="63" t="s">
        <v>57</v>
      </c>
      <c r="E37" s="12"/>
      <c r="F37" s="481"/>
      <c r="G37" s="12"/>
      <c r="H37" s="12"/>
      <c r="K37" s="26"/>
    </row>
    <row r="38" spans="2:12">
      <c r="B38" s="28" t="s">
        <v>376</v>
      </c>
      <c r="C38" s="448">
        <f>'6-SC TX &amp; RX Set-Up'!D9</f>
        <v>0.01</v>
      </c>
      <c r="D38" s="63" t="s">
        <v>28</v>
      </c>
      <c r="K38" s="26"/>
    </row>
    <row r="39" spans="2:12">
      <c r="B39" s="63" t="s">
        <v>377</v>
      </c>
      <c r="C39" s="26">
        <f>G36+(10*LOG10(C34))+(10*LOG10(C38*1000000))</f>
        <v>-162.86996694971339</v>
      </c>
      <c r="D39" s="63" t="s">
        <v>47</v>
      </c>
      <c r="E39" s="63" t="s">
        <v>113</v>
      </c>
      <c r="K39" s="26"/>
    </row>
    <row r="40" spans="2:12">
      <c r="B40" s="35" t="s">
        <v>673</v>
      </c>
      <c r="C40" s="68" t="e">
        <f ca="1">C36-10*LOG(C38*1000000)</f>
        <v>#NAME?</v>
      </c>
      <c r="D40" s="63" t="s">
        <v>31</v>
      </c>
      <c r="E40" s="63" t="s">
        <v>374</v>
      </c>
    </row>
    <row r="41" spans="2:12">
      <c r="B41" s="35" t="s">
        <v>674</v>
      </c>
      <c r="C41" s="68" t="e">
        <f ca="1">C37-10*LOG(C38*1000000)</f>
        <v>#NAME?</v>
      </c>
      <c r="D41" s="63"/>
      <c r="E41" s="63"/>
    </row>
    <row r="42" spans="2:12">
      <c r="B42" s="63" t="s">
        <v>379</v>
      </c>
      <c r="C42" s="251">
        <v>-300</v>
      </c>
      <c r="D42" s="63" t="s">
        <v>100</v>
      </c>
      <c r="E42" s="63" t="s">
        <v>375</v>
      </c>
      <c r="K42" s="26"/>
    </row>
    <row r="43" spans="2:12">
      <c r="B43" s="63" t="s">
        <v>380</v>
      </c>
      <c r="C43" s="26">
        <f>C42+10*LOG(C38*1000000)+C26+C27+C28+C29</f>
        <v>-242.24429697933084</v>
      </c>
      <c r="D43" s="63" t="s">
        <v>47</v>
      </c>
      <c r="E43" s="63" t="s">
        <v>101</v>
      </c>
      <c r="K43" s="64"/>
    </row>
    <row r="44" spans="2:12">
      <c r="B44" s="63" t="s">
        <v>378</v>
      </c>
      <c r="C44" s="27" t="e">
        <f ca="1">C23-C43</f>
        <v>#NAME?</v>
      </c>
      <c r="D44" s="63" t="s">
        <v>102</v>
      </c>
      <c r="E44" s="63" t="s">
        <v>382</v>
      </c>
    </row>
    <row r="45" spans="2:12">
      <c r="B45" s="63" t="s">
        <v>381</v>
      </c>
      <c r="C45" s="26">
        <f>10*LOG10(10^(C39/10)+10^(C43/10))</f>
        <v>-162.86996689955413</v>
      </c>
      <c r="D45" s="63" t="s">
        <v>47</v>
      </c>
      <c r="E45" s="63" t="s">
        <v>383</v>
      </c>
    </row>
    <row r="46" spans="2:12">
      <c r="B46" s="35" t="s">
        <v>675</v>
      </c>
      <c r="C46" s="68" t="e">
        <f ca="1">10*LOG10(1/((1/(10^(C40/10)))+(1/(10^(C44/10)))))</f>
        <v>#NAME?</v>
      </c>
      <c r="D46" t="s">
        <v>31</v>
      </c>
      <c r="E46" t="s">
        <v>103</v>
      </c>
    </row>
    <row r="47" spans="2:12">
      <c r="B47" s="35" t="s">
        <v>676</v>
      </c>
      <c r="C47" s="68" t="e">
        <f ca="1">10*LOG10(1/((1/(10^(C41/10)))+(1/(10^(C44/10)))))</f>
        <v>#NAME?</v>
      </c>
    </row>
    <row r="48" spans="2:12">
      <c r="C48" s="374"/>
      <c r="F48" s="68">
        <f>10*LOG10(1/((1/(10^(F42/10)))+(1/(10^(F46/10)))))</f>
        <v>-3.0102999566398121</v>
      </c>
    </row>
    <row r="49" spans="2:11">
      <c r="B49" s="63" t="s">
        <v>399</v>
      </c>
      <c r="C49" s="855">
        <f>'3-Link Scenario Planner'!E9</f>
        <v>0.01</v>
      </c>
      <c r="D49" s="63" t="s">
        <v>28</v>
      </c>
      <c r="E49" s="368" t="s">
        <v>384</v>
      </c>
    </row>
    <row r="50" spans="2:11">
      <c r="E50" t="s">
        <v>400</v>
      </c>
    </row>
    <row r="51" spans="2:11">
      <c r="B51" s="35" t="s">
        <v>461</v>
      </c>
      <c r="C51" s="509" t="e">
        <f ca="1">C46-(10*LOG10(C49/C38))</f>
        <v>#NAME?</v>
      </c>
      <c r="D51" s="63" t="s">
        <v>31</v>
      </c>
      <c r="E51" s="63" t="s">
        <v>387</v>
      </c>
    </row>
    <row r="52" spans="2:11">
      <c r="B52" s="35" t="s">
        <v>462</v>
      </c>
      <c r="C52" s="509" t="e">
        <f ca="1">C47-(10*LOG10(C49/C38))</f>
        <v>#NAME?</v>
      </c>
      <c r="D52" s="63" t="s">
        <v>31</v>
      </c>
      <c r="E52" s="63" t="s">
        <v>460</v>
      </c>
    </row>
    <row r="53" spans="2:11" ht="14" thickBot="1">
      <c r="K53" s="63" t="s">
        <v>3</v>
      </c>
    </row>
    <row r="54" spans="2:11" ht="14" thickBot="1">
      <c r="B54" s="35" t="s">
        <v>463</v>
      </c>
      <c r="C54" s="210" t="e">
        <f ca="1">C51+10*LOG10(C49*1000000)</f>
        <v>#NAME?</v>
      </c>
      <c r="D54" t="s">
        <v>57</v>
      </c>
      <c r="E54" s="63" t="s">
        <v>465</v>
      </c>
    </row>
    <row r="55" spans="2:11" ht="14" thickBot="1">
      <c r="B55" s="35" t="s">
        <v>386</v>
      </c>
      <c r="C55" s="210" t="e">
        <f ca="1">C52+10*LOG10(C49*1000000)</f>
        <v>#NAME?</v>
      </c>
      <c r="D55" s="63" t="s">
        <v>57</v>
      </c>
      <c r="E55" s="63" t="s">
        <v>464</v>
      </c>
    </row>
    <row r="56" spans="2:11" ht="14" thickBot="1"/>
    <row r="57" spans="2:11" ht="14" thickBot="1">
      <c r="B57" s="35" t="s">
        <v>466</v>
      </c>
      <c r="C57" s="510" t="e">
        <f ca="1">C54-10*LOG10(C49*1000000)</f>
        <v>#NAME?</v>
      </c>
      <c r="D57" t="s">
        <v>31</v>
      </c>
      <c r="E57" t="s">
        <v>507</v>
      </c>
    </row>
    <row r="58" spans="2:11" ht="14" thickBot="1">
      <c r="B58" s="35" t="s">
        <v>467</v>
      </c>
      <c r="C58" s="210" t="e">
        <f ca="1">C55-10*LOG10(C49*1000000)</f>
        <v>#NAME?</v>
      </c>
      <c r="D58" s="63" t="s">
        <v>31</v>
      </c>
    </row>
    <row r="60" spans="2:11">
      <c r="B60" t="s">
        <v>397</v>
      </c>
      <c r="C60" s="379">
        <v>0.5</v>
      </c>
      <c r="D60" t="s">
        <v>31</v>
      </c>
      <c r="E60" t="s">
        <v>398</v>
      </c>
    </row>
    <row r="61" spans="2:11">
      <c r="B61" s="63" t="s">
        <v>468</v>
      </c>
      <c r="C61" s="67" t="e">
        <f ca="1">C57-C60</f>
        <v>#NAME?</v>
      </c>
      <c r="D61" t="s">
        <v>31</v>
      </c>
      <c r="E61" s="63" t="s">
        <v>473</v>
      </c>
    </row>
    <row r="62" spans="2:11">
      <c r="B62" s="63" t="s">
        <v>469</v>
      </c>
      <c r="C62" s="67" t="e">
        <f ca="1">C58-C60</f>
        <v>#NAME?</v>
      </c>
      <c r="D62" s="63" t="s">
        <v>31</v>
      </c>
      <c r="E62" s="63" t="s">
        <v>472</v>
      </c>
    </row>
    <row r="63" spans="2:11">
      <c r="C63" s="67"/>
    </row>
    <row r="64" spans="2:11" ht="14" thickBot="1">
      <c r="B64" t="s">
        <v>506</v>
      </c>
      <c r="C64" s="508">
        <v>4.8</v>
      </c>
      <c r="D64" t="s">
        <v>31</v>
      </c>
      <c r="E64" s="63" t="s">
        <v>511</v>
      </c>
      <c r="I64" s="63"/>
      <c r="J64" s="715" t="s">
        <v>664</v>
      </c>
    </row>
    <row r="65" spans="2:10" ht="14" thickBot="1">
      <c r="B65" s="610" t="s">
        <v>677</v>
      </c>
      <c r="C65" s="210" t="e">
        <f ca="1">C61-C64</f>
        <v>#NAME?</v>
      </c>
      <c r="D65" t="s">
        <v>31</v>
      </c>
      <c r="E65" s="63" t="s">
        <v>470</v>
      </c>
      <c r="J65" s="715" t="s">
        <v>664</v>
      </c>
    </row>
    <row r="66" spans="2:10" ht="14" thickBot="1">
      <c r="B66" s="610" t="s">
        <v>678</v>
      </c>
      <c r="C66" s="210" t="e">
        <f ca="1">C62-C64</f>
        <v>#NAME?</v>
      </c>
      <c r="D66" s="63" t="s">
        <v>31</v>
      </c>
      <c r="E66" s="63" t="s">
        <v>471</v>
      </c>
      <c r="J66" s="715" t="s">
        <v>664</v>
      </c>
    </row>
    <row r="67" spans="2:10">
      <c r="I67" s="63" t="s">
        <v>3</v>
      </c>
    </row>
    <row r="68" spans="2:10">
      <c r="E68" s="610" t="s">
        <v>3</v>
      </c>
    </row>
  </sheetData>
  <phoneticPr fontId="0" type="noConversion"/>
  <pageMargins left="0.75" right="0.75" top="1" bottom="1" header="0.5" footer="0.5"/>
  <pageSetup paperSize="9" orientation="portrait" horizontalDpi="4294967293" verticalDpi="12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rgb="FF00B050"/>
  </sheetPr>
  <dimension ref="A1:S111"/>
  <sheetViews>
    <sheetView zoomScale="120" zoomScaleNormal="120" workbookViewId="0">
      <selection activeCell="C2" sqref="C2"/>
    </sheetView>
  </sheetViews>
  <sheetFormatPr baseColWidth="10" defaultColWidth="8.83203125" defaultRowHeight="13"/>
  <cols>
    <col min="2" max="2" width="57.5" customWidth="1"/>
    <col min="3" max="3" width="15.5" customWidth="1"/>
    <col min="5" max="5" width="18" customWidth="1"/>
    <col min="12" max="12" width="12.5" customWidth="1"/>
  </cols>
  <sheetData>
    <row r="1" spans="1:19" ht="18">
      <c r="A1" s="713" t="s">
        <v>649</v>
      </c>
      <c r="B1" s="603" t="str">
        <f>'1-Title Page'!F3</f>
        <v>mmW Digital Transponder -  Data Link Using DVB S2(X)</v>
      </c>
      <c r="C1" s="36"/>
      <c r="D1" s="36"/>
      <c r="E1" s="45" t="str">
        <f>'1-Title Page'!F7</f>
        <v>Jan A. King/ W3GEY, Brian R. Jones</v>
      </c>
      <c r="F1" s="45" t="s">
        <v>3</v>
      </c>
      <c r="G1" s="45" t="str">
        <f>'1-Title Page'!D23</f>
        <v>Date Data Last Modified:</v>
      </c>
      <c r="H1" s="45"/>
      <c r="I1" s="36"/>
      <c r="J1" s="36"/>
      <c r="K1" s="36"/>
      <c r="L1" s="36"/>
      <c r="M1" s="36"/>
      <c r="N1" s="36"/>
      <c r="O1" s="36"/>
      <c r="P1" s="36"/>
      <c r="Q1" s="36"/>
      <c r="R1" s="36"/>
      <c r="S1" s="36"/>
    </row>
    <row r="2" spans="1:19" ht="20">
      <c r="A2" s="36"/>
      <c r="B2" s="37" t="s">
        <v>586</v>
      </c>
      <c r="C2" s="94" t="s">
        <v>140</v>
      </c>
      <c r="D2" s="36"/>
      <c r="E2" s="45" t="str">
        <f>'1-Title Page'!G1</f>
        <v xml:space="preserve"> Version: 7.0.3</v>
      </c>
      <c r="F2" s="45"/>
      <c r="G2" s="46" t="str">
        <f>'1-Title Page'!F23</f>
        <v>2025 February 16</v>
      </c>
      <c r="H2" s="45"/>
      <c r="I2" s="36"/>
      <c r="J2" s="75"/>
      <c r="K2" s="91" t="s">
        <v>121</v>
      </c>
      <c r="L2" s="146">
        <f>'5-Frequency'!C12</f>
        <v>10475</v>
      </c>
      <c r="M2" s="76" t="s">
        <v>28</v>
      </c>
      <c r="N2" s="36"/>
      <c r="O2" s="36"/>
      <c r="P2" s="36"/>
      <c r="Q2" s="36"/>
      <c r="R2" s="36"/>
      <c r="S2" s="36"/>
    </row>
    <row r="3" spans="1:19">
      <c r="A3" s="36"/>
      <c r="B3" s="36"/>
      <c r="C3" s="36"/>
      <c r="D3" s="36"/>
      <c r="E3" s="45"/>
      <c r="F3" s="45"/>
      <c r="G3" s="45"/>
      <c r="H3" s="45"/>
      <c r="I3" s="36"/>
      <c r="J3" s="36"/>
      <c r="K3" s="36"/>
      <c r="L3" s="36"/>
      <c r="M3" s="36"/>
      <c r="N3" s="36"/>
      <c r="O3" s="36"/>
      <c r="P3" s="36"/>
      <c r="Q3" s="36"/>
      <c r="R3" s="36"/>
      <c r="S3" s="36"/>
    </row>
    <row r="4" spans="1:19">
      <c r="A4" s="25"/>
      <c r="B4" s="20" t="s">
        <v>4</v>
      </c>
      <c r="C4" s="20" t="s">
        <v>5</v>
      </c>
      <c r="D4" s="20" t="s">
        <v>32</v>
      </c>
      <c r="E4" s="20" t="s">
        <v>33</v>
      </c>
      <c r="F4" s="25"/>
      <c r="G4" s="25"/>
      <c r="H4" s="25"/>
      <c r="I4" s="25"/>
      <c r="J4" s="25"/>
      <c r="K4" s="25"/>
      <c r="L4" s="25"/>
      <c r="M4" s="25"/>
      <c r="N4" s="25"/>
      <c r="O4" s="25"/>
      <c r="P4" s="25"/>
      <c r="Q4" s="25"/>
      <c r="R4" s="25"/>
      <c r="S4" s="25"/>
    </row>
    <row r="5" spans="1:19">
      <c r="A5" s="15"/>
      <c r="B5" s="24" t="s">
        <v>34</v>
      </c>
      <c r="C5" s="15"/>
      <c r="D5" s="15"/>
      <c r="E5" s="15"/>
      <c r="F5" s="15"/>
      <c r="G5" s="15"/>
      <c r="H5" s="15"/>
      <c r="I5" s="15"/>
      <c r="J5" s="15"/>
      <c r="K5" s="15"/>
      <c r="L5" s="15"/>
      <c r="M5" s="15"/>
      <c r="N5" s="15"/>
      <c r="O5" s="15"/>
      <c r="P5" s="15"/>
      <c r="Q5" s="15"/>
      <c r="R5" s="15"/>
      <c r="S5" s="15"/>
    </row>
    <row r="6" spans="1:19">
      <c r="B6" s="28" t="s">
        <v>115</v>
      </c>
      <c r="C6" s="442">
        <f>'6-SC TX &amp; RX Set-Up'!D13</f>
        <v>10</v>
      </c>
      <c r="D6" s="63" t="s">
        <v>46</v>
      </c>
      <c r="E6" s="63" t="s">
        <v>118</v>
      </c>
      <c r="L6" s="95" t="s">
        <v>141</v>
      </c>
    </row>
    <row r="7" spans="1:19">
      <c r="B7" s="13" t="s">
        <v>53</v>
      </c>
      <c r="C7" s="67">
        <f>10*LOG10(C6)</f>
        <v>10</v>
      </c>
      <c r="D7" t="s">
        <v>47</v>
      </c>
    </row>
    <row r="8" spans="1:19">
      <c r="B8" s="13" t="s">
        <v>54</v>
      </c>
      <c r="C8" s="67">
        <f>C7+30</f>
        <v>40</v>
      </c>
      <c r="D8" t="s">
        <v>48</v>
      </c>
    </row>
    <row r="9" spans="1:19">
      <c r="B9" s="28" t="s">
        <v>415</v>
      </c>
      <c r="C9" s="442">
        <f>POWER(10,(C7-'6-SC TX &amp; RX Set-Up'!D19)/10)</f>
        <v>0.1</v>
      </c>
      <c r="D9" s="63" t="s">
        <v>46</v>
      </c>
      <c r="E9" s="63" t="s">
        <v>416</v>
      </c>
      <c r="L9" s="95" t="s">
        <v>141</v>
      </c>
    </row>
    <row r="10" spans="1:19">
      <c r="B10" s="28" t="s">
        <v>115</v>
      </c>
      <c r="C10" s="442">
        <f>C6-C9</f>
        <v>9.9</v>
      </c>
      <c r="D10" s="63" t="s">
        <v>46</v>
      </c>
      <c r="E10" s="63" t="s">
        <v>417</v>
      </c>
      <c r="L10" s="95" t="s">
        <v>141</v>
      </c>
    </row>
    <row r="11" spans="1:19">
      <c r="B11" t="s">
        <v>63</v>
      </c>
      <c r="C11" s="65">
        <f>-'6-SC TX &amp; RX Set-Up'!L71</f>
        <v>-0.2</v>
      </c>
      <c r="D11" t="s">
        <v>31</v>
      </c>
    </row>
    <row r="12" spans="1:19">
      <c r="B12" s="63" t="s">
        <v>163</v>
      </c>
      <c r="C12" s="65">
        <f>-('6-SC TX &amp; RX Set-Up'!L68)</f>
        <v>-0.2</v>
      </c>
      <c r="D12" t="s">
        <v>31</v>
      </c>
      <c r="L12" s="63" t="s">
        <v>3</v>
      </c>
      <c r="S12" s="610" t="s">
        <v>3</v>
      </c>
    </row>
    <row r="13" spans="1:19">
      <c r="B13" s="63" t="s">
        <v>166</v>
      </c>
      <c r="C13" s="65">
        <f>'6-SC TX &amp; RX Set-Up'!L74</f>
        <v>17.218614897305617</v>
      </c>
      <c r="D13" t="s">
        <v>49</v>
      </c>
      <c r="E13" s="63" t="s">
        <v>548</v>
      </c>
    </row>
    <row r="14" spans="1:19">
      <c r="B14" s="63" t="s">
        <v>114</v>
      </c>
      <c r="C14" s="132">
        <f>C7+C11+C12+C13</f>
        <v>26.818614897305618</v>
      </c>
      <c r="D14" t="s">
        <v>47</v>
      </c>
      <c r="E14" s="63" t="s">
        <v>105</v>
      </c>
    </row>
    <row r="15" spans="1:19">
      <c r="B15" s="63" t="s">
        <v>165</v>
      </c>
      <c r="C15" s="855">
        <f>'4A-Orbit'!K36</f>
        <v>-0.99695495164283776</v>
      </c>
      <c r="D15" t="s">
        <v>31</v>
      </c>
      <c r="E15" s="856" t="s">
        <v>752</v>
      </c>
    </row>
    <row r="16" spans="1:19">
      <c r="B16" s="24" t="s">
        <v>36</v>
      </c>
      <c r="C16" s="47"/>
      <c r="D16" s="15"/>
      <c r="E16" s="15"/>
      <c r="F16" s="15"/>
      <c r="G16" s="15"/>
      <c r="H16" s="15"/>
      <c r="I16" s="15"/>
      <c r="J16" s="15"/>
      <c r="K16" s="15"/>
      <c r="L16" s="15"/>
      <c r="M16" s="15"/>
      <c r="N16" s="15"/>
      <c r="O16" s="15"/>
      <c r="P16" s="15"/>
      <c r="Q16" s="15"/>
      <c r="R16" s="15"/>
      <c r="S16" s="15"/>
    </row>
    <row r="17" spans="2:19">
      <c r="B17" t="s">
        <v>62</v>
      </c>
      <c r="C17" s="229">
        <v>-0.23</v>
      </c>
      <c r="D17" t="s">
        <v>31</v>
      </c>
      <c r="E17" t="s">
        <v>513</v>
      </c>
      <c r="J17" t="s">
        <v>3</v>
      </c>
    </row>
    <row r="18" spans="2:19">
      <c r="B18" t="s">
        <v>30</v>
      </c>
      <c r="C18" s="67">
        <f>-'5-Frequency'!H12</f>
        <v>-204.81037386479287</v>
      </c>
      <c r="D18" t="s">
        <v>31</v>
      </c>
      <c r="E18" t="s">
        <v>346</v>
      </c>
    </row>
    <row r="19" spans="2:19">
      <c r="B19" s="312" t="s">
        <v>325</v>
      </c>
      <c r="C19" s="855" t="e">
        <f ca="1">-'11B- ITU P618-6 Downlink'!$F$30</f>
        <v>#NAME?</v>
      </c>
      <c r="D19" t="s">
        <v>31</v>
      </c>
      <c r="E19" t="s">
        <v>3</v>
      </c>
    </row>
    <row r="20" spans="2:19">
      <c r="B20" s="313" t="s">
        <v>448</v>
      </c>
      <c r="C20" s="855" t="e">
        <f ca="1">-'11B- ITU P618-6 Downlink'!$D$31</f>
        <v>#NAME?</v>
      </c>
      <c r="D20" t="s">
        <v>31</v>
      </c>
    </row>
    <row r="21" spans="2:19">
      <c r="B21" s="313" t="s">
        <v>449</v>
      </c>
      <c r="C21" s="855" t="e">
        <f ca="1">-'11B- ITU P618-6 Downlink'!D32</f>
        <v>#NAME?</v>
      </c>
      <c r="D21" t="s">
        <v>31</v>
      </c>
      <c r="E21" t="s">
        <v>328</v>
      </c>
    </row>
    <row r="22" spans="2:19">
      <c r="B22" s="313" t="s">
        <v>450</v>
      </c>
      <c r="C22" s="855" t="e">
        <f ca="1">-'11B- ITU P618-6 Downlink'!$D$33</f>
        <v>#NAME?</v>
      </c>
      <c r="D22" t="s">
        <v>31</v>
      </c>
    </row>
    <row r="23" spans="2:19">
      <c r="B23" s="313" t="s">
        <v>451</v>
      </c>
      <c r="C23" s="862" t="e">
        <f ca="1" xml:space="preserve"> -'11B- ITU P618-6 Downlink'!G35</f>
        <v>#NAME?</v>
      </c>
      <c r="D23" t="s">
        <v>31</v>
      </c>
      <c r="I23" t="s">
        <v>3</v>
      </c>
    </row>
    <row r="24" spans="2:19">
      <c r="B24" s="475" t="s">
        <v>454</v>
      </c>
      <c r="C24" s="863" t="e">
        <f ca="1" xml:space="preserve"> -'11B- ITU P618-6 Downlink'!D35</f>
        <v>#NAME?</v>
      </c>
    </row>
    <row r="25" spans="2:19">
      <c r="B25" s="476" t="s">
        <v>452</v>
      </c>
      <c r="C25" s="27" t="e">
        <f ca="1">C14+SUM(C15:C18)+C23</f>
        <v>#NAME?</v>
      </c>
      <c r="D25" t="s">
        <v>47</v>
      </c>
      <c r="E25" s="96" t="e">
        <f ca="1">C25+30</f>
        <v>#NAME?</v>
      </c>
      <c r="F25" t="s">
        <v>48</v>
      </c>
    </row>
    <row r="26" spans="2:19">
      <c r="B26" s="477" t="s">
        <v>453</v>
      </c>
      <c r="C26" s="27" t="e">
        <f ca="1">C14+SUM(C15:C18)+C24</f>
        <v>#NAME?</v>
      </c>
      <c r="D26" t="s">
        <v>47</v>
      </c>
      <c r="E26" s="294"/>
    </row>
    <row r="27" spans="2:19">
      <c r="B27" s="24" t="s">
        <v>38</v>
      </c>
      <c r="C27" s="15"/>
      <c r="D27" s="506"/>
      <c r="E27" s="15"/>
      <c r="F27" s="15"/>
      <c r="G27" s="15"/>
      <c r="H27" s="15"/>
      <c r="I27" s="15"/>
      <c r="J27" s="23" t="s">
        <v>3</v>
      </c>
      <c r="K27" s="34"/>
      <c r="L27" s="34"/>
      <c r="M27" s="34"/>
      <c r="N27" s="34"/>
      <c r="O27" s="15"/>
      <c r="P27" s="15"/>
      <c r="Q27" s="15"/>
      <c r="R27" s="15"/>
      <c r="S27" s="15"/>
    </row>
    <row r="28" spans="2:19">
      <c r="B28" s="28" t="s">
        <v>58</v>
      </c>
      <c r="C28" s="855">
        <f>-('7-User Terminal Set-Up'!N62)</f>
        <v>-0.4</v>
      </c>
      <c r="D28" t="s">
        <v>31</v>
      </c>
      <c r="K28" s="26"/>
    </row>
    <row r="29" spans="2:19">
      <c r="B29" s="28" t="s">
        <v>505</v>
      </c>
      <c r="C29" s="505">
        <v>0</v>
      </c>
      <c r="D29" t="s">
        <v>31</v>
      </c>
      <c r="E29" t="s">
        <v>508</v>
      </c>
      <c r="K29" s="26"/>
    </row>
    <row r="30" spans="2:19">
      <c r="B30" t="s">
        <v>39</v>
      </c>
      <c r="C30" s="65">
        <f>IF('7-User Terminal Set-Up'!G75="Yes",'7-User Terminal Set-Up'!G71,'7-User Terminal Set-Up'!L68)</f>
        <v>38.58459313660309</v>
      </c>
      <c r="D30" t="s">
        <v>49</v>
      </c>
      <c r="E30" s="63" t="s">
        <v>367</v>
      </c>
      <c r="K30" s="26"/>
    </row>
    <row r="31" spans="2:19">
      <c r="B31" t="s">
        <v>40</v>
      </c>
      <c r="C31" s="65">
        <f>-('7-User Terminal Set-Up'!H86)</f>
        <v>-0.2</v>
      </c>
      <c r="D31" t="s">
        <v>31</v>
      </c>
      <c r="F31" t="s">
        <v>3</v>
      </c>
    </row>
    <row r="32" spans="2:19">
      <c r="B32" t="s">
        <v>222</v>
      </c>
      <c r="C32" s="65">
        <f>-('7-User Terminal Set-Up'!J89)</f>
        <v>-0.7</v>
      </c>
      <c r="D32" t="s">
        <v>31</v>
      </c>
    </row>
    <row r="33" spans="2:11">
      <c r="B33" t="s">
        <v>41</v>
      </c>
      <c r="C33" s="63">
        <f>'7-User Terminal Set-Up'!M93</f>
        <v>210</v>
      </c>
      <c r="D33" t="s">
        <v>50</v>
      </c>
    </row>
    <row r="34" spans="2:11">
      <c r="B34" t="s">
        <v>51</v>
      </c>
      <c r="C34" s="328">
        <v>290</v>
      </c>
      <c r="D34" t="s">
        <v>50</v>
      </c>
    </row>
    <row r="35" spans="2:11">
      <c r="B35" t="s">
        <v>42</v>
      </c>
      <c r="C35" s="322">
        <f>'7-User Terminal Set-Up'!P56</f>
        <v>35</v>
      </c>
      <c r="D35" t="s">
        <v>50</v>
      </c>
      <c r="E35" t="s">
        <v>445</v>
      </c>
    </row>
    <row r="36" spans="2:11">
      <c r="B36" s="63" t="s">
        <v>299</v>
      </c>
      <c r="C36" s="855" t="e">
        <f ca="1">'11B- ITU P618-6 Downlink'!$C$38</f>
        <v>#NAME?</v>
      </c>
      <c r="D36" s="63" t="s">
        <v>50</v>
      </c>
      <c r="E36" t="s">
        <v>447</v>
      </c>
    </row>
    <row r="37" spans="2:11">
      <c r="B37" t="s">
        <v>44</v>
      </c>
      <c r="C37" s="29">
        <f>POWER(10,(C31+C32)/10)</f>
        <v>0.81283051616409918</v>
      </c>
      <c r="K37" s="29"/>
    </row>
    <row r="38" spans="2:11">
      <c r="B38" t="s">
        <v>43</v>
      </c>
      <c r="C38" s="26">
        <f>C37*C35+(1-C37)*C34+C33</f>
        <v>292.72821837815468</v>
      </c>
      <c r="D38" t="s">
        <v>50</v>
      </c>
      <c r="E38" t="s">
        <v>445</v>
      </c>
      <c r="K38" s="30"/>
    </row>
    <row r="39" spans="2:11">
      <c r="B39" s="63" t="s">
        <v>298</v>
      </c>
      <c r="C39" s="26" t="e">
        <f ca="1">C37*C36+(1-C37)*C34+C33</f>
        <v>#NAME?</v>
      </c>
      <c r="D39" s="63" t="s">
        <v>50</v>
      </c>
      <c r="E39" t="s">
        <v>446</v>
      </c>
      <c r="K39" s="30"/>
    </row>
    <row r="40" spans="2:11">
      <c r="B40" t="s">
        <v>45</v>
      </c>
      <c r="C40" s="331">
        <f>C29+C30+C31+C32-10*LOG10(C38)</f>
        <v>13.019947241434288</v>
      </c>
      <c r="D40" t="s">
        <v>52</v>
      </c>
      <c r="E40" t="s">
        <v>445</v>
      </c>
      <c r="K40" s="26"/>
    </row>
    <row r="41" spans="2:11">
      <c r="B41" s="63" t="s">
        <v>301</v>
      </c>
      <c r="C41" s="331" t="e">
        <f ca="1">C29+C30+C31+C32-10*LOG10(C39)</f>
        <v>#NAME?</v>
      </c>
      <c r="D41" s="63" t="s">
        <v>294</v>
      </c>
      <c r="E41" t="s">
        <v>446</v>
      </c>
      <c r="K41" s="26"/>
    </row>
    <row r="42" spans="2:11">
      <c r="B42" s="35" t="s">
        <v>326</v>
      </c>
      <c r="C42" s="68" t="e">
        <f ca="1">C25+C28-G42+C40</f>
        <v>#NAME?</v>
      </c>
      <c r="D42" t="s">
        <v>57</v>
      </c>
      <c r="E42" s="31" t="s">
        <v>55</v>
      </c>
      <c r="F42" s="32"/>
      <c r="G42" s="32">
        <v>-228.6</v>
      </c>
      <c r="H42" s="33" t="s">
        <v>56</v>
      </c>
      <c r="K42" s="26"/>
    </row>
    <row r="43" spans="2:11">
      <c r="B43" s="35" t="s">
        <v>457</v>
      </c>
      <c r="C43" s="68" t="e">
        <f ca="1">C26+C28-G42+C41</f>
        <v>#NAME?</v>
      </c>
      <c r="D43" s="63" t="s">
        <v>57</v>
      </c>
      <c r="E43" s="370" t="s">
        <v>389</v>
      </c>
      <c r="F43" s="12"/>
      <c r="G43" s="12"/>
      <c r="H43" s="12"/>
      <c r="K43" s="26"/>
    </row>
    <row r="44" spans="2:11">
      <c r="B44" s="63" t="s">
        <v>413</v>
      </c>
      <c r="C44" s="83">
        <f>'6-SC TX &amp; RX Set-Up'!D19</f>
        <v>20</v>
      </c>
      <c r="D44" s="63" t="s">
        <v>31</v>
      </c>
      <c r="E44" s="63" t="s">
        <v>106</v>
      </c>
    </row>
    <row r="45" spans="2:11">
      <c r="B45" s="63" t="s">
        <v>414</v>
      </c>
      <c r="C45" s="83" t="e">
        <f ca="1">C25-(C25-C44-10*LOG10('6-SC TX &amp; RX Set-Up'!J15*1000000))</f>
        <v>#NAME?</v>
      </c>
      <c r="D45" s="63" t="s">
        <v>57</v>
      </c>
      <c r="E45" s="63" t="s">
        <v>120</v>
      </c>
    </row>
    <row r="46" spans="2:11">
      <c r="B46" s="35" t="s">
        <v>327</v>
      </c>
      <c r="C46" s="84" t="e">
        <f ca="1">10*LOG10(1/((1/(10^(C42/10)))+(1/(10^(C45/10)))))</f>
        <v>#NAME?</v>
      </c>
      <c r="D46" s="63" t="s">
        <v>57</v>
      </c>
      <c r="E46" s="63"/>
    </row>
    <row r="47" spans="2:11">
      <c r="B47" s="35" t="s">
        <v>502</v>
      </c>
      <c r="C47" s="84" t="e">
        <f ca="1">10*LOG10(1/((1/(10^(C43/10)))+(1/(10^(C45/10)))))</f>
        <v>#NAME?</v>
      </c>
      <c r="D47" s="63" t="s">
        <v>57</v>
      </c>
      <c r="E47" s="63"/>
    </row>
    <row r="48" spans="2:11">
      <c r="B48" s="63" t="s">
        <v>104</v>
      </c>
      <c r="C48" s="864">
        <f>'3-Link Scenario Planner'!E11*1000</f>
        <v>1000</v>
      </c>
      <c r="D48" s="63" t="s">
        <v>99</v>
      </c>
      <c r="E48" s="865">
        <f>C48/1000</f>
        <v>1</v>
      </c>
      <c r="F48" t="s">
        <v>28</v>
      </c>
    </row>
    <row r="49" spans="2:13" ht="14" thickBot="1">
      <c r="B49" s="63"/>
      <c r="C49" s="145"/>
      <c r="D49" s="63"/>
      <c r="E49" s="485"/>
    </row>
    <row r="50" spans="2:13" ht="14" thickBot="1">
      <c r="B50" s="35" t="s">
        <v>485</v>
      </c>
      <c r="C50" s="77" t="e">
        <f ca="1">C46-10*LOG10($C$48*1000)</f>
        <v>#NAME?</v>
      </c>
      <c r="D50" s="63"/>
      <c r="E50" s="63"/>
    </row>
    <row r="51" spans="2:13" ht="14" thickBot="1">
      <c r="B51" s="35" t="s">
        <v>484</v>
      </c>
      <c r="C51" s="77" t="e">
        <f ca="1">C47-10*LOG10($C$48*1000)</f>
        <v>#NAME?</v>
      </c>
      <c r="D51" s="63" t="s">
        <v>31</v>
      </c>
      <c r="E51" s="63" t="s">
        <v>388</v>
      </c>
    </row>
    <row r="52" spans="2:13">
      <c r="B52" s="35"/>
      <c r="C52" s="369"/>
      <c r="D52" s="63"/>
      <c r="E52" s="63"/>
    </row>
    <row r="53" spans="2:13">
      <c r="B53" s="63"/>
      <c r="C53" s="66" t="s">
        <v>119</v>
      </c>
      <c r="D53" s="63" t="s">
        <v>3</v>
      </c>
      <c r="E53" s="63" t="s">
        <v>3</v>
      </c>
      <c r="M53" t="s">
        <v>3</v>
      </c>
    </row>
    <row r="54" spans="2:13">
      <c r="B54" s="35" t="s">
        <v>3</v>
      </c>
      <c r="K54" s="64"/>
    </row>
    <row r="55" spans="2:13">
      <c r="E55" t="s">
        <v>3</v>
      </c>
    </row>
    <row r="57" spans="2:13">
      <c r="C57" s="63" t="s">
        <v>3</v>
      </c>
    </row>
    <row r="111" spans="3:3">
      <c r="C111" t="s">
        <v>3</v>
      </c>
    </row>
  </sheetData>
  <phoneticPr fontId="0" type="noConversion"/>
  <pageMargins left="0.75" right="0.75" top="1" bottom="1" header="0.5" footer="0.5"/>
  <pageSetup orientation="portrait"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B5133-B7C1-47F9-872F-65B7EC204EF7}">
  <sheetPr codeName="Sheet16">
    <tabColor theme="5" tint="0.39997558519241921"/>
  </sheetPr>
  <dimension ref="A1:AZ51"/>
  <sheetViews>
    <sheetView workbookViewId="0"/>
  </sheetViews>
  <sheetFormatPr baseColWidth="10" defaultColWidth="8.83203125" defaultRowHeight="13"/>
  <cols>
    <col min="2" max="2" width="10.6640625" customWidth="1"/>
    <col min="3" max="3" width="16.1640625" customWidth="1"/>
    <col min="4" max="4" width="11.5" customWidth="1"/>
    <col min="10" max="10" width="12" customWidth="1"/>
    <col min="18" max="18" width="14.6640625" customWidth="1"/>
  </cols>
  <sheetData>
    <row r="1" spans="1:52" ht="19" thickBot="1">
      <c r="A1" s="652" t="s">
        <v>650</v>
      </c>
      <c r="B1" s="600" t="s">
        <v>583</v>
      </c>
      <c r="C1" s="599"/>
      <c r="D1" s="599"/>
      <c r="E1" s="599"/>
      <c r="F1" s="599"/>
      <c r="G1" s="599"/>
      <c r="H1" s="599"/>
      <c r="I1" s="599"/>
      <c r="J1" s="599"/>
      <c r="K1" s="599"/>
      <c r="L1" s="599"/>
      <c r="M1" s="599"/>
      <c r="N1" s="599"/>
      <c r="O1" s="599"/>
      <c r="P1" s="599"/>
      <c r="Q1" s="599"/>
      <c r="R1" s="599"/>
      <c r="S1" s="599"/>
      <c r="T1" s="599"/>
      <c r="U1" s="599"/>
      <c r="V1" s="599"/>
      <c r="W1" s="599"/>
      <c r="X1" s="599"/>
      <c r="Y1" s="599"/>
      <c r="Z1" s="599"/>
      <c r="AA1" s="599"/>
      <c r="AB1" s="599"/>
      <c r="AC1" s="599"/>
      <c r="AD1" s="599"/>
      <c r="AE1" s="599"/>
      <c r="AF1" s="599"/>
      <c r="AG1" s="599"/>
      <c r="AH1" s="599"/>
      <c r="AI1" s="599"/>
      <c r="AJ1" s="599"/>
      <c r="AK1" s="599"/>
      <c r="AL1" s="599"/>
      <c r="AM1" s="599"/>
      <c r="AN1" s="599"/>
      <c r="AO1" s="599"/>
      <c r="AP1" s="599"/>
      <c r="AQ1" s="599"/>
      <c r="AR1" s="599"/>
      <c r="AS1" s="599"/>
      <c r="AT1" s="599"/>
      <c r="AU1" s="599"/>
      <c r="AV1" s="599"/>
      <c r="AW1" s="599"/>
      <c r="AX1" s="599"/>
      <c r="AY1" s="599"/>
      <c r="AZ1" s="599"/>
    </row>
    <row r="2" spans="1:52" ht="49.5" customHeight="1" thickBot="1">
      <c r="A2" s="552"/>
      <c r="B2" s="597" t="s">
        <v>592</v>
      </c>
      <c r="C2" s="1024" t="s">
        <v>343</v>
      </c>
      <c r="D2" s="1025"/>
      <c r="E2" s="866">
        <f>'3-Link Scenario Planner'!E9</f>
        <v>0.01</v>
      </c>
      <c r="F2" s="1026" t="s">
        <v>230</v>
      </c>
      <c r="G2" s="1026"/>
      <c r="H2" s="1026"/>
      <c r="I2" s="598">
        <v>0.05</v>
      </c>
      <c r="J2" s="530"/>
      <c r="K2" s="543" t="s">
        <v>3</v>
      </c>
      <c r="L2" s="530"/>
      <c r="M2" s="530"/>
      <c r="N2" s="530"/>
      <c r="O2" s="530"/>
      <c r="P2" s="530"/>
      <c r="Q2" s="530"/>
      <c r="R2" s="544"/>
      <c r="S2" s="714" t="s">
        <v>3</v>
      </c>
      <c r="T2" s="545"/>
      <c r="U2" s="545"/>
      <c r="V2" s="545"/>
      <c r="W2" s="545"/>
      <c r="X2" s="545"/>
      <c r="Y2" s="545"/>
      <c r="Z2" s="545"/>
      <c r="AA2" s="546"/>
      <c r="AB2" s="546"/>
      <c r="AC2" s="546"/>
      <c r="AD2" s="546"/>
      <c r="AE2" s="546"/>
      <c r="AF2" s="546"/>
      <c r="AG2" s="546"/>
      <c r="AH2" s="546"/>
      <c r="AI2" s="546"/>
      <c r="AJ2" s="546"/>
      <c r="AK2" s="546"/>
      <c r="AL2" s="546"/>
      <c r="AM2" s="546"/>
      <c r="AN2" s="546"/>
      <c r="AO2" s="546"/>
      <c r="AP2" s="546"/>
      <c r="AQ2" s="546"/>
      <c r="AR2" s="546"/>
      <c r="AS2" s="546"/>
      <c r="AT2" s="546"/>
      <c r="AU2" s="546"/>
      <c r="AV2" s="546"/>
      <c r="AW2" s="546"/>
      <c r="AX2" s="546"/>
      <c r="AY2" s="546"/>
      <c r="AZ2" s="546"/>
    </row>
    <row r="3" spans="1:52" ht="18">
      <c r="A3" s="552"/>
      <c r="B3" s="566"/>
      <c r="C3" s="1027" t="s">
        <v>550</v>
      </c>
      <c r="D3" s="1027"/>
      <c r="E3" s="1028"/>
      <c r="F3" s="1027"/>
      <c r="G3" s="1027"/>
      <c r="H3" s="1027"/>
      <c r="I3" s="1028"/>
      <c r="J3" s="1027"/>
      <c r="K3" s="1027"/>
      <c r="L3" s="1027"/>
      <c r="M3" s="1027"/>
      <c r="N3" s="1027"/>
      <c r="O3" s="1027"/>
      <c r="P3" s="1027"/>
      <c r="Q3" s="1027"/>
      <c r="R3" s="1029"/>
      <c r="S3" s="547"/>
      <c r="T3" s="547"/>
      <c r="U3" s="547"/>
      <c r="V3" s="547"/>
      <c r="W3" s="547"/>
      <c r="X3" s="547"/>
      <c r="Y3" s="547"/>
      <c r="Z3" s="547"/>
      <c r="AA3" s="547"/>
      <c r="AB3" s="546"/>
      <c r="AC3" s="546"/>
      <c r="AD3" s="546"/>
      <c r="AE3" s="546"/>
      <c r="AF3" s="546"/>
      <c r="AG3" s="546"/>
      <c r="AH3" s="546"/>
      <c r="AI3" s="546"/>
      <c r="AJ3" s="546"/>
      <c r="AK3" s="546"/>
      <c r="AL3" s="546"/>
      <c r="AM3" s="546"/>
      <c r="AN3" s="546"/>
      <c r="AO3" s="546"/>
      <c r="AP3" s="546"/>
      <c r="AQ3" s="546"/>
      <c r="AR3" s="546"/>
      <c r="AS3" s="546"/>
      <c r="AT3" s="546"/>
      <c r="AU3" s="546"/>
      <c r="AV3" s="546"/>
      <c r="AW3" s="546"/>
      <c r="AX3" s="546"/>
      <c r="AY3" s="546"/>
      <c r="AZ3" s="546"/>
    </row>
    <row r="4" spans="1:52" ht="34">
      <c r="A4" s="552"/>
      <c r="B4" s="567"/>
      <c r="C4" s="270" t="s">
        <v>231</v>
      </c>
      <c r="D4" s="270" t="s">
        <v>232</v>
      </c>
      <c r="E4" s="270" t="s">
        <v>233</v>
      </c>
      <c r="F4" s="270" t="s">
        <v>234</v>
      </c>
      <c r="G4" s="270" t="s">
        <v>235</v>
      </c>
      <c r="H4" s="270" t="s">
        <v>236</v>
      </c>
      <c r="I4" s="270" t="s">
        <v>237</v>
      </c>
      <c r="J4" s="327" t="s">
        <v>321</v>
      </c>
      <c r="K4" s="270" t="s">
        <v>320</v>
      </c>
      <c r="L4" s="271" t="s">
        <v>238</v>
      </c>
      <c r="M4" s="270" t="s">
        <v>239</v>
      </c>
      <c r="N4" s="270" t="s">
        <v>240</v>
      </c>
      <c r="O4" s="270" t="s">
        <v>241</v>
      </c>
      <c r="P4" s="270" t="s">
        <v>242</v>
      </c>
      <c r="Q4" s="270" t="s">
        <v>243</v>
      </c>
      <c r="R4" s="272" t="s">
        <v>244</v>
      </c>
      <c r="S4" s="547"/>
      <c r="T4" s="547"/>
      <c r="U4" s="547"/>
      <c r="V4" s="547"/>
      <c r="W4" s="547"/>
      <c r="X4" s="547"/>
      <c r="Y4" s="547"/>
      <c r="Z4" s="547"/>
      <c r="AA4" s="547"/>
      <c r="AB4" s="546"/>
      <c r="AC4" s="546"/>
      <c r="AD4" s="546"/>
      <c r="AE4" s="546"/>
      <c r="AF4" s="546"/>
      <c r="AG4" s="546"/>
      <c r="AH4" s="546"/>
      <c r="AI4" s="546"/>
      <c r="AJ4" s="546"/>
      <c r="AK4" s="546"/>
      <c r="AL4" s="546"/>
      <c r="AM4" s="546"/>
      <c r="AN4" s="546"/>
      <c r="AO4" s="546"/>
      <c r="AP4" s="546"/>
      <c r="AQ4" s="546"/>
      <c r="AR4" s="546"/>
      <c r="AS4" s="546"/>
      <c r="AT4" s="546"/>
      <c r="AU4" s="546"/>
      <c r="AV4" s="546"/>
      <c r="AW4" s="546"/>
      <c r="AX4" s="546"/>
      <c r="AY4" s="546"/>
      <c r="AZ4" s="546"/>
    </row>
    <row r="5" spans="1:52" ht="28">
      <c r="A5" s="552"/>
      <c r="B5" s="577" t="s">
        <v>537</v>
      </c>
      <c r="C5" s="576" t="s">
        <v>519</v>
      </c>
      <c r="D5" s="273"/>
      <c r="E5" s="273" t="s">
        <v>31</v>
      </c>
      <c r="F5" s="273" t="s">
        <v>245</v>
      </c>
      <c r="G5" s="273" t="s">
        <v>28</v>
      </c>
      <c r="H5" s="273" t="s">
        <v>57</v>
      </c>
      <c r="I5" s="273" t="s">
        <v>31</v>
      </c>
      <c r="J5" s="274" t="s">
        <v>246</v>
      </c>
      <c r="K5" s="273"/>
      <c r="L5" s="275" t="s">
        <v>708</v>
      </c>
      <c r="M5" s="273" t="s">
        <v>31</v>
      </c>
      <c r="N5" s="273" t="s">
        <v>31</v>
      </c>
      <c r="O5" s="273" t="s">
        <v>247</v>
      </c>
      <c r="P5" s="273" t="s">
        <v>247</v>
      </c>
      <c r="Q5" s="273" t="s">
        <v>248</v>
      </c>
      <c r="R5" s="276"/>
      <c r="S5" s="547"/>
      <c r="T5" s="547"/>
      <c r="U5" s="547"/>
      <c r="V5" s="547"/>
      <c r="W5" s="547"/>
      <c r="X5" s="547"/>
      <c r="Y5" s="547"/>
      <c r="Z5" s="547"/>
      <c r="AA5" s="547"/>
      <c r="AB5" s="546"/>
      <c r="AC5" s="546"/>
      <c r="AD5" s="546"/>
      <c r="AE5" s="546"/>
      <c r="AF5" s="546"/>
      <c r="AG5" s="546"/>
      <c r="AH5" s="546"/>
      <c r="AI5" s="546"/>
      <c r="AJ5" s="546"/>
      <c r="AK5" s="546"/>
      <c r="AL5" s="546"/>
      <c r="AM5" s="546"/>
      <c r="AN5" s="546"/>
      <c r="AO5" s="546"/>
      <c r="AP5" s="546"/>
      <c r="AQ5" s="546"/>
      <c r="AR5" s="546"/>
      <c r="AS5" s="546"/>
      <c r="AT5" s="546"/>
      <c r="AU5" s="546"/>
      <c r="AV5" s="546"/>
      <c r="AW5" s="546"/>
      <c r="AX5" s="546"/>
      <c r="AY5" s="546"/>
      <c r="AZ5" s="546"/>
    </row>
    <row r="6" spans="1:52">
      <c r="A6" s="552"/>
      <c r="B6" s="565"/>
      <c r="C6" s="519"/>
      <c r="D6" s="519"/>
      <c r="E6" s="519"/>
      <c r="F6" s="563"/>
      <c r="G6" s="563"/>
      <c r="H6" s="563"/>
      <c r="I6" s="563"/>
      <c r="J6" s="563"/>
      <c r="K6" s="519"/>
      <c r="L6" s="522"/>
      <c r="M6" s="519"/>
      <c r="N6" s="563"/>
      <c r="O6" s="563"/>
      <c r="P6" s="563"/>
      <c r="Q6" s="563"/>
      <c r="R6" s="276"/>
      <c r="S6" s="547"/>
      <c r="T6" s="547"/>
      <c r="U6" s="547"/>
      <c r="V6" s="547"/>
      <c r="W6" s="547"/>
      <c r="X6" s="547"/>
      <c r="Y6" s="547"/>
      <c r="Z6" s="547"/>
      <c r="AA6" s="547"/>
      <c r="AB6" s="546"/>
      <c r="AC6" s="546"/>
      <c r="AD6" s="546"/>
      <c r="AE6" s="546"/>
      <c r="AF6" s="546"/>
      <c r="AG6" s="546"/>
      <c r="AH6" s="546"/>
      <c r="AI6" s="546"/>
      <c r="AJ6" s="546"/>
      <c r="AK6" s="546"/>
      <c r="AL6" s="546"/>
      <c r="AM6" s="546"/>
      <c r="AN6" s="546"/>
      <c r="AO6" s="546"/>
      <c r="AP6" s="546"/>
      <c r="AQ6" s="546"/>
      <c r="AR6" s="546"/>
      <c r="AS6" s="546"/>
      <c r="AT6" s="546"/>
      <c r="AU6" s="546"/>
      <c r="AV6" s="546"/>
      <c r="AW6" s="546"/>
      <c r="AX6" s="546"/>
      <c r="AY6" s="546"/>
      <c r="AZ6" s="546"/>
    </row>
    <row r="7" spans="1:52" ht="14">
      <c r="A7" s="551" t="s">
        <v>3</v>
      </c>
      <c r="B7" s="569" t="s">
        <v>521</v>
      </c>
      <c r="C7" s="519" t="s">
        <v>249</v>
      </c>
      <c r="D7" s="520">
        <v>0.25</v>
      </c>
      <c r="E7" s="519">
        <v>-2.35</v>
      </c>
      <c r="F7" s="522">
        <f>G7/(1+$I$2)</f>
        <v>9.5238095238095229E-3</v>
      </c>
      <c r="G7" s="522">
        <f t="shared" ref="G7:G34" si="0">$E$2</f>
        <v>0.01</v>
      </c>
      <c r="H7" s="350">
        <f t="shared" ref="H7:H34" si="1">E7+10*LOG(F7*10^6)</f>
        <v>37.438107009300616</v>
      </c>
      <c r="I7" s="277">
        <f t="shared" ref="I7:I34" si="2">H7-10*LOG(G7*10^6)</f>
        <v>-2.5618929906993841</v>
      </c>
      <c r="J7" s="517">
        <v>0.49024299999999998</v>
      </c>
      <c r="K7" s="519">
        <v>2</v>
      </c>
      <c r="L7" s="522">
        <f>(F7*J7)*1000</f>
        <v>4.6689809523809513</v>
      </c>
      <c r="M7" s="564">
        <f t="shared" ref="M7:M34" si="3">E7-10*LOG(J7)</f>
        <v>0.74588598747536183</v>
      </c>
      <c r="N7" s="564">
        <f t="shared" ref="N7:N34" si="4">H7-10*LOG(O7*10^6)</f>
        <v>-5.360299956639814</v>
      </c>
      <c r="O7" s="522">
        <f t="shared" ref="O7:O34" si="5">F7*K7</f>
        <v>1.9047619047619046E-2</v>
      </c>
      <c r="P7" s="522">
        <f t="shared" ref="P7:P34" si="6">O7*D7</f>
        <v>4.7619047619047615E-3</v>
      </c>
      <c r="Q7" s="516">
        <f t="shared" ref="Q7:Q34" si="7">O7*(1-D7)</f>
        <v>1.4285714285714284E-2</v>
      </c>
      <c r="R7" s="523">
        <f>(P7-(L7/1000))/P7</f>
        <v>1.9514000000000087E-2</v>
      </c>
      <c r="S7" s="547"/>
      <c r="T7" s="547"/>
      <c r="U7" s="547"/>
      <c r="V7" s="547"/>
      <c r="W7" s="547"/>
      <c r="X7" s="547"/>
      <c r="Y7" s="547"/>
      <c r="Z7" s="547"/>
      <c r="AA7" s="547"/>
      <c r="AB7" s="546"/>
      <c r="AC7" s="546"/>
      <c r="AD7" s="546"/>
      <c r="AE7" s="546"/>
      <c r="AF7" s="546"/>
      <c r="AG7" s="546"/>
      <c r="AH7" s="546"/>
      <c r="AI7" s="546"/>
      <c r="AJ7" s="546"/>
      <c r="AK7" s="546"/>
      <c r="AL7" s="546"/>
      <c r="AM7" s="546"/>
      <c r="AN7" s="546"/>
      <c r="AO7" s="546"/>
      <c r="AP7" s="546"/>
      <c r="AQ7" s="546"/>
      <c r="AR7" s="546"/>
      <c r="AS7" s="546"/>
      <c r="AT7" s="546"/>
      <c r="AU7" s="546"/>
      <c r="AV7" s="546"/>
      <c r="AW7" s="546"/>
      <c r="AX7" s="546"/>
      <c r="AY7" s="546"/>
      <c r="AZ7" s="546"/>
    </row>
    <row r="8" spans="1:52" ht="14">
      <c r="A8" s="552"/>
      <c r="B8" s="569" t="s">
        <v>521</v>
      </c>
      <c r="C8" s="519" t="s">
        <v>249</v>
      </c>
      <c r="D8" s="520">
        <v>0.33333333333333331</v>
      </c>
      <c r="E8" s="519">
        <v>-1.24</v>
      </c>
      <c r="F8" s="522">
        <f t="shared" ref="F8:F34" si="8">G8/(1+$I$2)</f>
        <v>9.5238095238095229E-3</v>
      </c>
      <c r="G8" s="522">
        <f t="shared" si="0"/>
        <v>0.01</v>
      </c>
      <c r="H8" s="350">
        <f t="shared" si="1"/>
        <v>38.548107009300615</v>
      </c>
      <c r="I8" s="277">
        <f t="shared" si="2"/>
        <v>-1.4518929906993847</v>
      </c>
      <c r="J8" s="517">
        <v>0.65644800000000003</v>
      </c>
      <c r="K8" s="519">
        <v>2</v>
      </c>
      <c r="L8" s="522">
        <f t="shared" ref="L8:L34" si="9">(F8*J8)*1000</f>
        <v>6.2518857142857147</v>
      </c>
      <c r="M8" s="564">
        <f t="shared" si="3"/>
        <v>0.5879967049985575</v>
      </c>
      <c r="N8" s="564">
        <f t="shared" si="4"/>
        <v>-4.2502999566398145</v>
      </c>
      <c r="O8" s="516">
        <f t="shared" si="5"/>
        <v>1.9047619047619046E-2</v>
      </c>
      <c r="P8" s="516">
        <f t="shared" si="6"/>
        <v>6.3492063492063483E-3</v>
      </c>
      <c r="Q8" s="516">
        <f t="shared" si="7"/>
        <v>1.2698412698412698E-2</v>
      </c>
      <c r="R8" s="523">
        <f t="shared" ref="R8:R34" si="10">(P8-(L8/1000))/P8</f>
        <v>1.5327999999999856E-2</v>
      </c>
      <c r="S8" s="547"/>
      <c r="T8" s="547"/>
      <c r="U8" s="547"/>
      <c r="V8" s="547"/>
      <c r="W8" s="547"/>
      <c r="X8" s="547"/>
      <c r="Y8" s="547"/>
      <c r="Z8" s="547"/>
      <c r="AA8" s="547"/>
      <c r="AB8" s="546"/>
      <c r="AC8" s="546"/>
      <c r="AD8" s="546"/>
      <c r="AE8" s="546"/>
      <c r="AF8" s="546"/>
      <c r="AG8" s="546"/>
      <c r="AH8" s="546"/>
      <c r="AI8" s="546"/>
      <c r="AJ8" s="546"/>
      <c r="AK8" s="546"/>
      <c r="AL8" s="546"/>
      <c r="AM8" s="546"/>
      <c r="AN8" s="546"/>
      <c r="AO8" s="546"/>
      <c r="AP8" s="546"/>
      <c r="AQ8" s="546"/>
      <c r="AR8" s="546"/>
      <c r="AS8" s="546"/>
      <c r="AT8" s="546"/>
      <c r="AU8" s="546"/>
      <c r="AV8" s="546"/>
      <c r="AW8" s="546"/>
      <c r="AX8" s="546"/>
      <c r="AY8" s="546"/>
      <c r="AZ8" s="546"/>
    </row>
    <row r="9" spans="1:52" ht="14">
      <c r="A9" s="552"/>
      <c r="B9" s="569" t="s">
        <v>521</v>
      </c>
      <c r="C9" s="519" t="s">
        <v>249</v>
      </c>
      <c r="D9" s="520">
        <v>0.4</v>
      </c>
      <c r="E9" s="516">
        <v>-0.3</v>
      </c>
      <c r="F9" s="522">
        <f t="shared" si="8"/>
        <v>9.5238095238095229E-3</v>
      </c>
      <c r="G9" s="522">
        <f t="shared" si="0"/>
        <v>0.01</v>
      </c>
      <c r="H9" s="350">
        <f t="shared" si="1"/>
        <v>39.48810700930062</v>
      </c>
      <c r="I9" s="277">
        <f t="shared" si="2"/>
        <v>-0.51189299069937988</v>
      </c>
      <c r="J9" s="517">
        <v>0.789412</v>
      </c>
      <c r="K9" s="519">
        <v>2</v>
      </c>
      <c r="L9" s="522">
        <f t="shared" si="9"/>
        <v>7.5182095238095235</v>
      </c>
      <c r="M9" s="564">
        <f t="shared" si="3"/>
        <v>0.72696276098380475</v>
      </c>
      <c r="N9" s="564">
        <f t="shared" si="4"/>
        <v>-3.3102999566398097</v>
      </c>
      <c r="O9" s="516">
        <f t="shared" si="5"/>
        <v>1.9047619047619046E-2</v>
      </c>
      <c r="P9" s="516">
        <f t="shared" si="6"/>
        <v>7.619047619047619E-3</v>
      </c>
      <c r="Q9" s="516">
        <f t="shared" si="7"/>
        <v>1.1428571428571427E-2</v>
      </c>
      <c r="R9" s="523">
        <f t="shared" si="10"/>
        <v>1.323500000000008E-2</v>
      </c>
      <c r="S9" s="547"/>
      <c r="T9" s="547"/>
      <c r="U9" s="547"/>
      <c r="V9" s="547"/>
      <c r="W9" s="547"/>
      <c r="X9" s="547"/>
      <c r="Y9" s="547"/>
      <c r="Z9" s="547"/>
      <c r="AA9" s="547"/>
      <c r="AB9" s="546"/>
      <c r="AC9" s="546"/>
      <c r="AD9" s="546"/>
      <c r="AE9" s="546"/>
      <c r="AF9" s="546"/>
      <c r="AG9" s="546"/>
      <c r="AH9" s="546"/>
      <c r="AI9" s="546"/>
      <c r="AJ9" s="546"/>
      <c r="AK9" s="546"/>
      <c r="AL9" s="546"/>
      <c r="AM9" s="546"/>
      <c r="AN9" s="546"/>
      <c r="AO9" s="546"/>
      <c r="AP9" s="546"/>
      <c r="AQ9" s="546"/>
      <c r="AR9" s="546"/>
      <c r="AS9" s="546"/>
      <c r="AT9" s="546"/>
      <c r="AU9" s="546"/>
      <c r="AV9" s="546"/>
      <c r="AW9" s="546"/>
      <c r="AX9" s="546"/>
      <c r="AY9" s="546"/>
      <c r="AZ9" s="546"/>
    </row>
    <row r="10" spans="1:52" ht="14">
      <c r="A10" s="552"/>
      <c r="B10" s="569" t="s">
        <v>521</v>
      </c>
      <c r="C10" s="519" t="s">
        <v>249</v>
      </c>
      <c r="D10" s="520">
        <v>0.5</v>
      </c>
      <c r="E10" s="516">
        <v>1</v>
      </c>
      <c r="F10" s="522">
        <f t="shared" si="8"/>
        <v>9.5238095238095229E-3</v>
      </c>
      <c r="G10" s="522">
        <f t="shared" si="0"/>
        <v>0.01</v>
      </c>
      <c r="H10" s="350">
        <f t="shared" si="1"/>
        <v>40.788107009300617</v>
      </c>
      <c r="I10" s="277">
        <f t="shared" si="2"/>
        <v>0.78810700930061728</v>
      </c>
      <c r="J10" s="517">
        <v>0.98885800000000001</v>
      </c>
      <c r="K10" s="518">
        <v>2</v>
      </c>
      <c r="L10" s="522">
        <f t="shared" si="9"/>
        <v>9.4176952380952379</v>
      </c>
      <c r="M10" s="564">
        <f t="shared" si="3"/>
        <v>1.0486606860920165</v>
      </c>
      <c r="N10" s="564">
        <f t="shared" si="4"/>
        <v>-2.0102999566398125</v>
      </c>
      <c r="O10" s="516">
        <f t="shared" si="5"/>
        <v>1.9047619047619046E-2</v>
      </c>
      <c r="P10" s="516">
        <f t="shared" si="6"/>
        <v>9.5238095238095229E-3</v>
      </c>
      <c r="Q10" s="516">
        <f t="shared" si="7"/>
        <v>9.5238095238095229E-3</v>
      </c>
      <c r="R10" s="523">
        <f t="shared" si="10"/>
        <v>1.1141999999999899E-2</v>
      </c>
      <c r="S10" s="547"/>
      <c r="T10" s="547"/>
      <c r="U10" s="547"/>
      <c r="V10" s="547"/>
      <c r="W10" s="547"/>
      <c r="X10" s="547"/>
      <c r="Y10" s="547"/>
      <c r="Z10" s="547"/>
      <c r="AA10" s="547"/>
      <c r="AB10" s="546"/>
      <c r="AC10" s="546"/>
      <c r="AD10" s="546"/>
      <c r="AE10" s="546"/>
      <c r="AF10" s="546"/>
      <c r="AG10" s="546"/>
      <c r="AH10" s="546"/>
      <c r="AI10" s="546"/>
      <c r="AJ10" s="546"/>
      <c r="AK10" s="546"/>
      <c r="AL10" s="546"/>
      <c r="AM10" s="546"/>
      <c r="AN10" s="546"/>
      <c r="AO10" s="546"/>
      <c r="AP10" s="546"/>
      <c r="AQ10" s="546"/>
      <c r="AR10" s="546"/>
      <c r="AS10" s="546"/>
      <c r="AT10" s="546"/>
      <c r="AU10" s="546"/>
      <c r="AV10" s="546"/>
      <c r="AW10" s="546"/>
      <c r="AX10" s="546"/>
      <c r="AY10" s="546"/>
      <c r="AZ10" s="546"/>
    </row>
    <row r="11" spans="1:52" ht="14">
      <c r="A11" s="552"/>
      <c r="B11" s="569" t="s">
        <v>521</v>
      </c>
      <c r="C11" s="519" t="s">
        <v>249</v>
      </c>
      <c r="D11" s="520">
        <v>0.6</v>
      </c>
      <c r="E11" s="516">
        <v>2.23</v>
      </c>
      <c r="F11" s="522">
        <f t="shared" si="8"/>
        <v>9.5238095238095229E-3</v>
      </c>
      <c r="G11" s="522">
        <f t="shared" si="0"/>
        <v>0.01</v>
      </c>
      <c r="H11" s="350">
        <f t="shared" si="1"/>
        <v>42.018107009300614</v>
      </c>
      <c r="I11" s="277">
        <f t="shared" si="2"/>
        <v>2.0181070093006142</v>
      </c>
      <c r="J11" s="517">
        <v>1.188304</v>
      </c>
      <c r="K11" s="518">
        <v>2</v>
      </c>
      <c r="L11" s="522">
        <f t="shared" si="9"/>
        <v>11.317180952380951</v>
      </c>
      <c r="M11" s="564">
        <f t="shared" si="3"/>
        <v>1.4807244097668941</v>
      </c>
      <c r="N11" s="564">
        <f t="shared" si="4"/>
        <v>-0.78029995663981566</v>
      </c>
      <c r="O11" s="516">
        <f t="shared" si="5"/>
        <v>1.9047619047619046E-2</v>
      </c>
      <c r="P11" s="516">
        <f t="shared" si="6"/>
        <v>1.1428571428571427E-2</v>
      </c>
      <c r="Q11" s="516">
        <f t="shared" si="7"/>
        <v>7.619047619047619E-3</v>
      </c>
      <c r="R11" s="523">
        <f t="shared" si="10"/>
        <v>9.7466666666665945E-3</v>
      </c>
      <c r="S11" s="547"/>
      <c r="T11" s="547"/>
      <c r="U11" s="547"/>
      <c r="V11" s="547"/>
      <c r="W11" s="547"/>
      <c r="X11" s="547"/>
      <c r="Y11" s="547"/>
      <c r="Z11" s="547"/>
      <c r="AA11" s="547"/>
      <c r="AB11" s="546"/>
      <c r="AC11" s="546"/>
      <c r="AD11" s="546"/>
      <c r="AE11" s="546"/>
      <c r="AF11" s="546"/>
      <c r="AG11" s="546"/>
      <c r="AH11" s="546"/>
      <c r="AI11" s="546"/>
      <c r="AJ11" s="546"/>
      <c r="AK11" s="546"/>
      <c r="AL11" s="546"/>
      <c r="AM11" s="546"/>
      <c r="AN11" s="546"/>
      <c r="AO11" s="546"/>
      <c r="AP11" s="546"/>
      <c r="AQ11" s="546"/>
      <c r="AR11" s="546"/>
      <c r="AS11" s="546"/>
      <c r="AT11" s="546"/>
      <c r="AU11" s="546"/>
      <c r="AV11" s="546"/>
      <c r="AW11" s="546"/>
      <c r="AX11" s="546"/>
      <c r="AY11" s="546"/>
      <c r="AZ11" s="546"/>
    </row>
    <row r="12" spans="1:52" ht="14">
      <c r="A12" s="552"/>
      <c r="B12" s="569" t="s">
        <v>521</v>
      </c>
      <c r="C12" s="519" t="s">
        <v>249</v>
      </c>
      <c r="D12" s="520">
        <v>0.66666666666666663</v>
      </c>
      <c r="E12" s="516">
        <v>3.1</v>
      </c>
      <c r="F12" s="522">
        <f t="shared" si="8"/>
        <v>9.5238095238095229E-3</v>
      </c>
      <c r="G12" s="522">
        <f t="shared" si="0"/>
        <v>0.01</v>
      </c>
      <c r="H12" s="350">
        <f t="shared" si="1"/>
        <v>42.888107009300619</v>
      </c>
      <c r="I12" s="277">
        <f t="shared" si="2"/>
        <v>2.8881070093006187</v>
      </c>
      <c r="J12" s="517">
        <v>1.3222529999999999</v>
      </c>
      <c r="K12" s="518">
        <v>2</v>
      </c>
      <c r="L12" s="522">
        <f t="shared" si="9"/>
        <v>12.592885714285712</v>
      </c>
      <c r="M12" s="564">
        <f t="shared" si="3"/>
        <v>1.8868543895676191</v>
      </c>
      <c r="N12" s="564">
        <f t="shared" si="4"/>
        <v>8.9700043360188886E-2</v>
      </c>
      <c r="O12" s="516">
        <f t="shared" si="5"/>
        <v>1.9047619047619046E-2</v>
      </c>
      <c r="P12" s="516">
        <f t="shared" si="6"/>
        <v>1.2698412698412697E-2</v>
      </c>
      <c r="Q12" s="516">
        <f t="shared" si="7"/>
        <v>6.3492063492063492E-3</v>
      </c>
      <c r="R12" s="523">
        <f t="shared" si="10"/>
        <v>8.3102500000000416E-3</v>
      </c>
      <c r="S12" s="547"/>
      <c r="T12" s="547"/>
      <c r="U12" s="547"/>
      <c r="V12" s="547"/>
      <c r="W12" s="547"/>
      <c r="X12" s="547"/>
      <c r="Y12" s="547"/>
      <c r="Z12" s="547"/>
      <c r="AA12" s="547"/>
      <c r="AB12" s="546"/>
      <c r="AC12" s="546"/>
      <c r="AD12" s="546"/>
      <c r="AE12" s="546"/>
      <c r="AF12" s="546"/>
      <c r="AG12" s="546"/>
      <c r="AH12" s="546"/>
      <c r="AI12" s="546"/>
      <c r="AJ12" s="546"/>
      <c r="AK12" s="546"/>
      <c r="AL12" s="546"/>
      <c r="AM12" s="546"/>
      <c r="AN12" s="546"/>
      <c r="AO12" s="546"/>
      <c r="AP12" s="546"/>
      <c r="AQ12" s="546"/>
      <c r="AR12" s="546"/>
      <c r="AS12" s="546"/>
      <c r="AT12" s="546"/>
      <c r="AU12" s="546"/>
      <c r="AV12" s="546"/>
      <c r="AW12" s="546"/>
      <c r="AX12" s="546"/>
      <c r="AY12" s="546"/>
      <c r="AZ12" s="546"/>
    </row>
    <row r="13" spans="1:52" ht="14">
      <c r="A13" s="552"/>
      <c r="B13" s="569" t="s">
        <v>521</v>
      </c>
      <c r="C13" s="519" t="s">
        <v>249</v>
      </c>
      <c r="D13" s="520">
        <v>0.75</v>
      </c>
      <c r="E13" s="516">
        <v>4.03</v>
      </c>
      <c r="F13" s="522">
        <f t="shared" si="8"/>
        <v>9.5238095238095229E-3</v>
      </c>
      <c r="G13" s="522">
        <f t="shared" si="0"/>
        <v>0.01</v>
      </c>
      <c r="H13" s="350">
        <f t="shared" si="1"/>
        <v>43.818107009300618</v>
      </c>
      <c r="I13" s="277">
        <f t="shared" si="2"/>
        <v>3.8181070093006184</v>
      </c>
      <c r="J13" s="517">
        <v>1.487473</v>
      </c>
      <c r="K13" s="518">
        <v>2</v>
      </c>
      <c r="L13" s="522">
        <f t="shared" si="9"/>
        <v>14.166409523809524</v>
      </c>
      <c r="M13" s="564">
        <f t="shared" si="3"/>
        <v>2.305509086632334</v>
      </c>
      <c r="N13" s="564">
        <f t="shared" si="4"/>
        <v>1.0197000433601886</v>
      </c>
      <c r="O13" s="516">
        <f t="shared" si="5"/>
        <v>1.9047619047619046E-2</v>
      </c>
      <c r="P13" s="516">
        <f t="shared" si="6"/>
        <v>1.4285714285714284E-2</v>
      </c>
      <c r="Q13" s="516">
        <f t="shared" si="7"/>
        <v>4.7619047619047615E-3</v>
      </c>
      <c r="R13" s="523">
        <f t="shared" si="10"/>
        <v>8.3513333333332298E-3</v>
      </c>
      <c r="S13" s="547"/>
      <c r="T13" s="547"/>
      <c r="U13" s="547"/>
      <c r="V13" s="547"/>
      <c r="W13" s="547"/>
      <c r="X13" s="547"/>
      <c r="Y13" s="547"/>
      <c r="Z13" s="547"/>
      <c r="AA13" s="547"/>
      <c r="AB13" s="546"/>
      <c r="AC13" s="546"/>
      <c r="AD13" s="546"/>
      <c r="AE13" s="546"/>
      <c r="AF13" s="546"/>
      <c r="AG13" s="546"/>
      <c r="AH13" s="546"/>
      <c r="AI13" s="546"/>
      <c r="AJ13" s="546"/>
      <c r="AK13" s="546"/>
      <c r="AL13" s="546"/>
      <c r="AM13" s="546"/>
      <c r="AN13" s="546"/>
      <c r="AO13" s="546"/>
      <c r="AP13" s="546"/>
      <c r="AQ13" s="546"/>
      <c r="AR13" s="546"/>
      <c r="AS13" s="546"/>
      <c r="AT13" s="546"/>
      <c r="AU13" s="546"/>
      <c r="AV13" s="546"/>
      <c r="AW13" s="546"/>
      <c r="AX13" s="546"/>
      <c r="AY13" s="546"/>
      <c r="AZ13" s="546"/>
    </row>
    <row r="14" spans="1:52" ht="14">
      <c r="A14" s="552"/>
      <c r="B14" s="569" t="s">
        <v>521</v>
      </c>
      <c r="C14" s="519" t="s">
        <v>249</v>
      </c>
      <c r="D14" s="520">
        <v>0.8</v>
      </c>
      <c r="E14" s="516">
        <v>4.68</v>
      </c>
      <c r="F14" s="522">
        <f t="shared" si="8"/>
        <v>9.5238095238095229E-3</v>
      </c>
      <c r="G14" s="522">
        <f t="shared" si="0"/>
        <v>0.01</v>
      </c>
      <c r="H14" s="350">
        <f t="shared" si="1"/>
        <v>44.468107009300617</v>
      </c>
      <c r="I14" s="277">
        <f t="shared" si="2"/>
        <v>4.468107009300617</v>
      </c>
      <c r="J14" s="517">
        <v>1.5871960000000001</v>
      </c>
      <c r="K14" s="518">
        <v>2</v>
      </c>
      <c r="L14" s="522">
        <f t="shared" si="9"/>
        <v>15.11615238095238</v>
      </c>
      <c r="M14" s="564">
        <f t="shared" si="3"/>
        <v>2.6736943968341755</v>
      </c>
      <c r="N14" s="564">
        <f t="shared" si="4"/>
        <v>1.6697000433601872</v>
      </c>
      <c r="O14" s="516">
        <f t="shared" si="5"/>
        <v>1.9047619047619046E-2</v>
      </c>
      <c r="P14" s="516">
        <f t="shared" si="6"/>
        <v>1.5238095238095238E-2</v>
      </c>
      <c r="Q14" s="516">
        <f t="shared" si="7"/>
        <v>3.8095238095238082E-3</v>
      </c>
      <c r="R14" s="523">
        <f t="shared" si="10"/>
        <v>8.0025000000000773E-3</v>
      </c>
      <c r="S14" s="547"/>
      <c r="T14" s="547"/>
      <c r="U14" s="547"/>
      <c r="V14" s="547"/>
      <c r="W14" s="547"/>
      <c r="X14" s="547"/>
      <c r="Y14" s="547"/>
      <c r="Z14" s="547"/>
      <c r="AA14" s="547"/>
      <c r="AB14" s="546"/>
      <c r="AC14" s="546"/>
      <c r="AD14" s="546"/>
      <c r="AE14" s="546"/>
      <c r="AF14" s="546"/>
      <c r="AG14" s="546"/>
      <c r="AH14" s="546"/>
      <c r="AI14" s="546"/>
      <c r="AJ14" s="546"/>
      <c r="AK14" s="546"/>
      <c r="AL14" s="546"/>
      <c r="AM14" s="546"/>
      <c r="AN14" s="546"/>
      <c r="AO14" s="546"/>
      <c r="AP14" s="546"/>
      <c r="AQ14" s="546"/>
      <c r="AR14" s="546"/>
      <c r="AS14" s="546"/>
      <c r="AT14" s="546"/>
      <c r="AU14" s="546"/>
      <c r="AV14" s="546"/>
      <c r="AW14" s="546"/>
      <c r="AX14" s="546"/>
      <c r="AY14" s="546"/>
      <c r="AZ14" s="546"/>
    </row>
    <row r="15" spans="1:52" ht="14">
      <c r="A15" s="552"/>
      <c r="B15" s="569" t="s">
        <v>521</v>
      </c>
      <c r="C15" s="519" t="s">
        <v>249</v>
      </c>
      <c r="D15" s="520">
        <v>0.83333333333333337</v>
      </c>
      <c r="E15" s="516">
        <v>5.18</v>
      </c>
      <c r="F15" s="522">
        <f t="shared" si="8"/>
        <v>9.5238095238095229E-3</v>
      </c>
      <c r="G15" s="522">
        <f t="shared" si="0"/>
        <v>0.01</v>
      </c>
      <c r="H15" s="350">
        <f t="shared" si="1"/>
        <v>44.968107009300617</v>
      </c>
      <c r="I15" s="277">
        <f t="shared" si="2"/>
        <v>4.968107009300617</v>
      </c>
      <c r="J15" s="517">
        <v>1.654663</v>
      </c>
      <c r="K15" s="518">
        <v>2</v>
      </c>
      <c r="L15" s="522">
        <f t="shared" si="9"/>
        <v>15.758695238095237</v>
      </c>
      <c r="M15" s="564">
        <f t="shared" si="3"/>
        <v>2.9929044427101088</v>
      </c>
      <c r="N15" s="564">
        <f t="shared" si="4"/>
        <v>2.1697000433601872</v>
      </c>
      <c r="O15" s="516">
        <f t="shared" si="5"/>
        <v>1.9047619047619046E-2</v>
      </c>
      <c r="P15" s="516">
        <f t="shared" si="6"/>
        <v>1.5873015873015872E-2</v>
      </c>
      <c r="Q15" s="516">
        <f t="shared" si="7"/>
        <v>3.1746031746031737E-3</v>
      </c>
      <c r="R15" s="523">
        <f t="shared" si="10"/>
        <v>7.2021999999999746E-3</v>
      </c>
      <c r="S15" s="547"/>
      <c r="T15" s="547"/>
      <c r="U15" s="547"/>
      <c r="V15" s="547"/>
      <c r="W15" s="547"/>
      <c r="X15" s="547"/>
      <c r="Y15" s="547"/>
      <c r="Z15" s="547"/>
      <c r="AA15" s="547"/>
      <c r="AB15" s="546"/>
      <c r="AC15" s="546"/>
      <c r="AD15" s="546"/>
      <c r="AE15" s="546"/>
      <c r="AF15" s="546"/>
      <c r="AG15" s="546"/>
      <c r="AH15" s="546"/>
      <c r="AI15" s="546"/>
      <c r="AJ15" s="546"/>
      <c r="AK15" s="546"/>
      <c r="AL15" s="546"/>
      <c r="AM15" s="546"/>
      <c r="AN15" s="546"/>
      <c r="AO15" s="546"/>
      <c r="AP15" s="546"/>
      <c r="AQ15" s="546"/>
      <c r="AR15" s="546"/>
      <c r="AS15" s="546"/>
      <c r="AT15" s="546"/>
      <c r="AU15" s="546"/>
      <c r="AV15" s="546"/>
      <c r="AW15" s="546"/>
      <c r="AX15" s="546"/>
      <c r="AY15" s="546"/>
      <c r="AZ15" s="546"/>
    </row>
    <row r="16" spans="1:52" ht="14">
      <c r="A16" s="552"/>
      <c r="B16" s="569" t="s">
        <v>521</v>
      </c>
      <c r="C16" s="519" t="s">
        <v>250</v>
      </c>
      <c r="D16" s="520">
        <v>0.6</v>
      </c>
      <c r="E16" s="516">
        <v>5.5</v>
      </c>
      <c r="F16" s="522">
        <f t="shared" si="8"/>
        <v>9.5238095238095229E-3</v>
      </c>
      <c r="G16" s="522">
        <f t="shared" si="0"/>
        <v>0.01</v>
      </c>
      <c r="H16" s="350">
        <f t="shared" si="1"/>
        <v>45.288107009300617</v>
      </c>
      <c r="I16" s="277">
        <f t="shared" si="2"/>
        <v>5.2881070093006173</v>
      </c>
      <c r="J16" s="517">
        <v>1.7799100000000001</v>
      </c>
      <c r="K16" s="518">
        <v>3</v>
      </c>
      <c r="L16" s="522">
        <f t="shared" si="9"/>
        <v>16.95152380952381</v>
      </c>
      <c r="M16" s="564">
        <f t="shared" si="3"/>
        <v>2.9960195695601977</v>
      </c>
      <c r="N16" s="564">
        <f t="shared" si="4"/>
        <v>0.72878745280337398</v>
      </c>
      <c r="O16" s="516">
        <f t="shared" si="5"/>
        <v>2.8571428571428567E-2</v>
      </c>
      <c r="P16" s="516">
        <f t="shared" si="6"/>
        <v>1.714285714285714E-2</v>
      </c>
      <c r="Q16" s="516">
        <f t="shared" si="7"/>
        <v>1.1428571428571427E-2</v>
      </c>
      <c r="R16" s="523">
        <f t="shared" si="10"/>
        <v>1.1161111111111009E-2</v>
      </c>
      <c r="S16" s="547"/>
      <c r="T16" s="547"/>
      <c r="U16" s="547"/>
      <c r="V16" s="547"/>
      <c r="W16" s="547"/>
      <c r="X16" s="547"/>
      <c r="Y16" s="547"/>
      <c r="Z16" s="547"/>
      <c r="AA16" s="547"/>
      <c r="AB16" s="546"/>
      <c r="AC16" s="546"/>
      <c r="AD16" s="546"/>
      <c r="AE16" s="546"/>
      <c r="AF16" s="546"/>
      <c r="AG16" s="546"/>
      <c r="AH16" s="546"/>
      <c r="AI16" s="546"/>
      <c r="AJ16" s="546"/>
      <c r="AK16" s="546"/>
      <c r="AL16" s="546"/>
      <c r="AM16" s="546"/>
      <c r="AN16" s="546"/>
      <c r="AO16" s="546"/>
      <c r="AP16" s="546"/>
      <c r="AQ16" s="546"/>
      <c r="AR16" s="546"/>
      <c r="AS16" s="546"/>
      <c r="AT16" s="546"/>
      <c r="AU16" s="546"/>
      <c r="AV16" s="546"/>
      <c r="AW16" s="546"/>
      <c r="AX16" s="546"/>
      <c r="AY16" s="546"/>
      <c r="AZ16" s="546"/>
    </row>
    <row r="17" spans="1:52" ht="14">
      <c r="A17" s="552"/>
      <c r="B17" s="569" t="s">
        <v>521</v>
      </c>
      <c r="C17" s="519" t="s">
        <v>249</v>
      </c>
      <c r="D17" s="520">
        <v>0.88888888888888884</v>
      </c>
      <c r="E17" s="516">
        <v>6.2</v>
      </c>
      <c r="F17" s="522">
        <f t="shared" si="8"/>
        <v>9.5238095238095229E-3</v>
      </c>
      <c r="G17" s="522">
        <f t="shared" si="0"/>
        <v>0.01</v>
      </c>
      <c r="H17" s="350">
        <f t="shared" si="1"/>
        <v>45.98810700930062</v>
      </c>
      <c r="I17" s="277">
        <f t="shared" si="2"/>
        <v>5.9881070093006201</v>
      </c>
      <c r="J17" s="517">
        <v>1.766451</v>
      </c>
      <c r="K17" s="518">
        <v>2</v>
      </c>
      <c r="L17" s="522">
        <f t="shared" si="9"/>
        <v>16.823342857142855</v>
      </c>
      <c r="M17" s="564">
        <f t="shared" si="3"/>
        <v>3.7289840505889056</v>
      </c>
      <c r="N17" s="564">
        <f t="shared" si="4"/>
        <v>3.1897000433601903</v>
      </c>
      <c r="O17" s="516">
        <f t="shared" si="5"/>
        <v>1.9047619047619046E-2</v>
      </c>
      <c r="P17" s="516">
        <f t="shared" si="6"/>
        <v>1.6931216931216929E-2</v>
      </c>
      <c r="Q17" s="516">
        <f t="shared" si="7"/>
        <v>2.116402116402117E-3</v>
      </c>
      <c r="R17" s="523">
        <f t="shared" si="10"/>
        <v>6.3713125000000037E-3</v>
      </c>
      <c r="S17" s="547"/>
      <c r="T17" s="547"/>
      <c r="U17" s="547"/>
      <c r="V17" s="547"/>
      <c r="W17" s="547"/>
      <c r="X17" s="547"/>
      <c r="Y17" s="547"/>
      <c r="Z17" s="547"/>
      <c r="AA17" s="547"/>
      <c r="AB17" s="546"/>
      <c r="AC17" s="546"/>
      <c r="AD17" s="546"/>
      <c r="AE17" s="546"/>
      <c r="AF17" s="546"/>
      <c r="AG17" s="546"/>
      <c r="AH17" s="546"/>
      <c r="AI17" s="546"/>
      <c r="AJ17" s="546"/>
      <c r="AK17" s="546"/>
      <c r="AL17" s="546"/>
      <c r="AM17" s="546"/>
      <c r="AN17" s="546"/>
      <c r="AO17" s="546"/>
      <c r="AP17" s="546"/>
      <c r="AQ17" s="546"/>
      <c r="AR17" s="546"/>
      <c r="AS17" s="546"/>
      <c r="AT17" s="546"/>
      <c r="AU17" s="546"/>
      <c r="AV17" s="546"/>
      <c r="AW17" s="546"/>
      <c r="AX17" s="546"/>
      <c r="AY17" s="546"/>
      <c r="AZ17" s="546"/>
    </row>
    <row r="18" spans="1:52" ht="14">
      <c r="A18" s="552"/>
      <c r="B18" s="569" t="s">
        <v>521</v>
      </c>
      <c r="C18" s="519" t="s">
        <v>249</v>
      </c>
      <c r="D18" s="520">
        <v>0.9</v>
      </c>
      <c r="E18" s="516">
        <v>6.42</v>
      </c>
      <c r="F18" s="522">
        <f t="shared" si="8"/>
        <v>9.5238095238095229E-3</v>
      </c>
      <c r="G18" s="522">
        <f t="shared" si="0"/>
        <v>0.01</v>
      </c>
      <c r="H18" s="350">
        <f t="shared" si="1"/>
        <v>46.208107009300619</v>
      </c>
      <c r="I18" s="277">
        <f t="shared" si="2"/>
        <v>6.208107009300619</v>
      </c>
      <c r="J18" s="517">
        <v>1.7886120000000001</v>
      </c>
      <c r="K18" s="518">
        <v>2</v>
      </c>
      <c r="L18" s="522">
        <f t="shared" si="9"/>
        <v>17.034399999999998</v>
      </c>
      <c r="M18" s="564">
        <f t="shared" si="3"/>
        <v>3.8948385984320204</v>
      </c>
      <c r="N18" s="564">
        <f t="shared" si="4"/>
        <v>3.4097000433601892</v>
      </c>
      <c r="O18" s="516">
        <f t="shared" si="5"/>
        <v>1.9047619047619046E-2</v>
      </c>
      <c r="P18" s="516">
        <f t="shared" si="6"/>
        <v>1.714285714285714E-2</v>
      </c>
      <c r="Q18" s="516">
        <f t="shared" si="7"/>
        <v>1.9047619047619041E-3</v>
      </c>
      <c r="R18" s="523">
        <f t="shared" si="10"/>
        <v>6.3266666666666228E-3</v>
      </c>
      <c r="S18" s="547"/>
      <c r="T18" s="547"/>
      <c r="U18" s="547"/>
      <c r="V18" s="547"/>
      <c r="W18" s="547"/>
      <c r="X18" s="547"/>
      <c r="Y18" s="547"/>
      <c r="Z18" s="547"/>
      <c r="AA18" s="547"/>
      <c r="AB18" s="546"/>
      <c r="AC18" s="546"/>
      <c r="AD18" s="546"/>
      <c r="AE18" s="546"/>
      <c r="AF18" s="546"/>
      <c r="AG18" s="546"/>
      <c r="AH18" s="546"/>
      <c r="AI18" s="546"/>
      <c r="AJ18" s="546"/>
      <c r="AK18" s="546"/>
      <c r="AL18" s="546"/>
      <c r="AM18" s="546"/>
      <c r="AN18" s="546"/>
      <c r="AO18" s="546"/>
      <c r="AP18" s="546"/>
      <c r="AQ18" s="546"/>
      <c r="AR18" s="546"/>
      <c r="AS18" s="546"/>
      <c r="AT18" s="546"/>
      <c r="AU18" s="546"/>
      <c r="AV18" s="546"/>
      <c r="AW18" s="546"/>
      <c r="AX18" s="546"/>
      <c r="AY18" s="546"/>
      <c r="AZ18" s="546"/>
    </row>
    <row r="19" spans="1:52" ht="14">
      <c r="A19" s="552"/>
      <c r="B19" s="569" t="s">
        <v>521</v>
      </c>
      <c r="C19" s="519" t="s">
        <v>250</v>
      </c>
      <c r="D19" s="520">
        <v>0.66666666666666663</v>
      </c>
      <c r="E19" s="516">
        <v>6.62</v>
      </c>
      <c r="F19" s="522">
        <f t="shared" si="8"/>
        <v>9.5238095238095229E-3</v>
      </c>
      <c r="G19" s="522">
        <f t="shared" si="0"/>
        <v>0.01</v>
      </c>
      <c r="H19" s="350">
        <f t="shared" si="1"/>
        <v>46.408107009300615</v>
      </c>
      <c r="I19" s="277">
        <f t="shared" si="2"/>
        <v>6.4081070093006147</v>
      </c>
      <c r="J19" s="517">
        <v>1.9806360000000001</v>
      </c>
      <c r="K19" s="518">
        <v>3</v>
      </c>
      <c r="L19" s="522">
        <f t="shared" si="9"/>
        <v>18.863199999999999</v>
      </c>
      <c r="M19" s="564">
        <f t="shared" si="3"/>
        <v>3.6519533148655956</v>
      </c>
      <c r="N19" s="564">
        <f t="shared" si="4"/>
        <v>1.8487874528033714</v>
      </c>
      <c r="O19" s="516">
        <f t="shared" si="5"/>
        <v>2.8571428571428567E-2</v>
      </c>
      <c r="P19" s="516">
        <f t="shared" si="6"/>
        <v>1.9047619047619042E-2</v>
      </c>
      <c r="Q19" s="516">
        <f t="shared" si="7"/>
        <v>9.5238095238095229E-3</v>
      </c>
      <c r="R19" s="523">
        <f t="shared" si="10"/>
        <v>9.6819999999997238E-3</v>
      </c>
      <c r="S19" s="547"/>
      <c r="T19" s="547"/>
      <c r="U19" s="547"/>
      <c r="V19" s="547"/>
      <c r="W19" s="547"/>
      <c r="X19" s="547"/>
      <c r="Y19" s="547"/>
      <c r="Z19" s="547"/>
      <c r="AA19" s="547"/>
      <c r="AB19" s="546"/>
      <c r="AC19" s="546"/>
      <c r="AD19" s="546"/>
      <c r="AE19" s="546"/>
      <c r="AF19" s="546"/>
      <c r="AG19" s="546"/>
      <c r="AH19" s="546"/>
      <c r="AI19" s="546"/>
      <c r="AJ19" s="546"/>
      <c r="AK19" s="546"/>
      <c r="AL19" s="546"/>
      <c r="AM19" s="546"/>
      <c r="AN19" s="546"/>
      <c r="AO19" s="546"/>
      <c r="AP19" s="546"/>
      <c r="AQ19" s="546"/>
      <c r="AR19" s="546"/>
      <c r="AS19" s="546"/>
      <c r="AT19" s="546"/>
      <c r="AU19" s="546"/>
      <c r="AV19" s="546"/>
      <c r="AW19" s="546"/>
      <c r="AX19" s="546"/>
      <c r="AY19" s="546"/>
      <c r="AZ19" s="546"/>
    </row>
    <row r="20" spans="1:52" ht="14">
      <c r="A20" s="552"/>
      <c r="B20" s="569" t="s">
        <v>521</v>
      </c>
      <c r="C20" s="519" t="s">
        <v>250</v>
      </c>
      <c r="D20" s="520">
        <v>0.75</v>
      </c>
      <c r="E20" s="516">
        <v>7.91</v>
      </c>
      <c r="F20" s="522">
        <f t="shared" si="8"/>
        <v>9.5238095238095229E-3</v>
      </c>
      <c r="G20" s="522">
        <f t="shared" si="0"/>
        <v>0.01</v>
      </c>
      <c r="H20" s="350">
        <f t="shared" si="1"/>
        <v>47.698107009300614</v>
      </c>
      <c r="I20" s="277">
        <f t="shared" si="2"/>
        <v>7.6981070093006139</v>
      </c>
      <c r="J20" s="517">
        <v>2.2281240000000002</v>
      </c>
      <c r="K20" s="518">
        <v>3</v>
      </c>
      <c r="L20" s="522">
        <f t="shared" si="9"/>
        <v>21.220228571428571</v>
      </c>
      <c r="M20" s="564">
        <f t="shared" si="3"/>
        <v>4.4306064338285864</v>
      </c>
      <c r="N20" s="564">
        <f t="shared" si="4"/>
        <v>3.1387874528033706</v>
      </c>
      <c r="O20" s="516">
        <f t="shared" si="5"/>
        <v>2.8571428571428567E-2</v>
      </c>
      <c r="P20" s="516">
        <f t="shared" si="6"/>
        <v>2.1428571428571425E-2</v>
      </c>
      <c r="Q20" s="516">
        <f t="shared" si="7"/>
        <v>7.1428571428571418E-3</v>
      </c>
      <c r="R20" s="523">
        <f t="shared" si="10"/>
        <v>9.7226666666664976E-3</v>
      </c>
      <c r="S20" s="547"/>
      <c r="T20" s="547"/>
      <c r="U20" s="547"/>
      <c r="V20" s="547"/>
      <c r="W20" s="547"/>
      <c r="X20" s="547"/>
      <c r="Y20" s="547"/>
      <c r="Z20" s="547"/>
      <c r="AA20" s="547"/>
      <c r="AB20" s="546"/>
      <c r="AC20" s="546"/>
      <c r="AD20" s="546"/>
      <c r="AE20" s="546"/>
      <c r="AF20" s="546"/>
      <c r="AG20" s="546"/>
      <c r="AH20" s="546"/>
      <c r="AI20" s="546"/>
      <c r="AJ20" s="546"/>
      <c r="AK20" s="546"/>
      <c r="AL20" s="546"/>
      <c r="AM20" s="546"/>
      <c r="AN20" s="546"/>
      <c r="AO20" s="546"/>
      <c r="AP20" s="546"/>
      <c r="AQ20" s="546"/>
      <c r="AR20" s="546"/>
      <c r="AS20" s="546"/>
      <c r="AT20" s="546"/>
      <c r="AU20" s="546"/>
      <c r="AV20" s="546"/>
      <c r="AW20" s="546"/>
      <c r="AX20" s="546"/>
      <c r="AY20" s="546"/>
      <c r="AZ20" s="546"/>
    </row>
    <row r="21" spans="1:52" ht="14">
      <c r="A21" s="552"/>
      <c r="B21" s="569" t="s">
        <v>521</v>
      </c>
      <c r="C21" s="519" t="s">
        <v>251</v>
      </c>
      <c r="D21" s="520">
        <v>0.66666666666666663</v>
      </c>
      <c r="E21" s="516">
        <v>8.9700000000000006</v>
      </c>
      <c r="F21" s="522">
        <f t="shared" si="8"/>
        <v>9.5238095238095229E-3</v>
      </c>
      <c r="G21" s="522">
        <f t="shared" si="0"/>
        <v>0.01</v>
      </c>
      <c r="H21" s="350">
        <f t="shared" si="1"/>
        <v>48.758107009300616</v>
      </c>
      <c r="I21" s="277">
        <f t="shared" si="2"/>
        <v>8.7581070093006161</v>
      </c>
      <c r="J21" s="517">
        <v>2.6372010000000001</v>
      </c>
      <c r="K21" s="518">
        <v>4</v>
      </c>
      <c r="L21" s="522">
        <f t="shared" si="9"/>
        <v>25.116199999999999</v>
      </c>
      <c r="M21" s="564">
        <f t="shared" si="3"/>
        <v>4.758567682482199</v>
      </c>
      <c r="N21" s="564">
        <f t="shared" si="4"/>
        <v>2.9494000867203738</v>
      </c>
      <c r="O21" s="516">
        <f t="shared" si="5"/>
        <v>3.8095238095238092E-2</v>
      </c>
      <c r="P21" s="516">
        <f t="shared" si="6"/>
        <v>2.5396825396825393E-2</v>
      </c>
      <c r="Q21" s="516">
        <f t="shared" si="7"/>
        <v>1.2698412698412698E-2</v>
      </c>
      <c r="R21" s="523">
        <f t="shared" si="10"/>
        <v>1.1049624999999933E-2</v>
      </c>
      <c r="S21" s="547"/>
      <c r="T21" s="547"/>
      <c r="U21" s="547"/>
      <c r="V21" s="547"/>
      <c r="W21" s="547"/>
      <c r="X21" s="547"/>
      <c r="Y21" s="547"/>
      <c r="Z21" s="547"/>
      <c r="AA21" s="547"/>
      <c r="AB21" s="546"/>
      <c r="AC21" s="546"/>
      <c r="AD21" s="546"/>
      <c r="AE21" s="546"/>
      <c r="AF21" s="546"/>
      <c r="AG21" s="546"/>
      <c r="AH21" s="546"/>
      <c r="AI21" s="546"/>
      <c r="AJ21" s="546"/>
      <c r="AK21" s="546"/>
      <c r="AL21" s="546"/>
      <c r="AM21" s="546"/>
      <c r="AN21" s="546"/>
      <c r="AO21" s="546"/>
      <c r="AP21" s="546"/>
      <c r="AQ21" s="546"/>
      <c r="AR21" s="546"/>
      <c r="AS21" s="546"/>
      <c r="AT21" s="546"/>
      <c r="AU21" s="546"/>
      <c r="AV21" s="546"/>
      <c r="AW21" s="546"/>
      <c r="AX21" s="546"/>
      <c r="AY21" s="546"/>
      <c r="AZ21" s="546"/>
    </row>
    <row r="22" spans="1:52" ht="14">
      <c r="A22" s="552"/>
      <c r="B22" s="569" t="s">
        <v>521</v>
      </c>
      <c r="C22" s="519" t="s">
        <v>250</v>
      </c>
      <c r="D22" s="520">
        <v>0.83333333333333337</v>
      </c>
      <c r="E22" s="516">
        <v>9.35</v>
      </c>
      <c r="F22" s="522">
        <f t="shared" si="8"/>
        <v>9.5238095238095229E-3</v>
      </c>
      <c r="G22" s="522">
        <f t="shared" si="0"/>
        <v>0.01</v>
      </c>
      <c r="H22" s="350">
        <f t="shared" si="1"/>
        <v>49.138107009300619</v>
      </c>
      <c r="I22" s="277">
        <f t="shared" si="2"/>
        <v>9.1381070093006187</v>
      </c>
      <c r="J22" s="517">
        <v>2.4785620000000002</v>
      </c>
      <c r="K22" s="518">
        <v>3</v>
      </c>
      <c r="L22" s="522">
        <f t="shared" si="9"/>
        <v>23.605352380952379</v>
      </c>
      <c r="M22" s="564">
        <f t="shared" si="3"/>
        <v>5.4080021296173451</v>
      </c>
      <c r="N22" s="564">
        <f t="shared" si="4"/>
        <v>4.5787874528033754</v>
      </c>
      <c r="O22" s="516">
        <f t="shared" si="5"/>
        <v>2.8571428571428567E-2</v>
      </c>
      <c r="P22" s="516">
        <f t="shared" si="6"/>
        <v>2.3809523809523808E-2</v>
      </c>
      <c r="Q22" s="516">
        <f t="shared" si="7"/>
        <v>4.7619047619047597E-3</v>
      </c>
      <c r="R22" s="523">
        <f t="shared" si="10"/>
        <v>8.5751999999999703E-3</v>
      </c>
      <c r="S22" s="547"/>
      <c r="T22" s="547"/>
      <c r="U22" s="547"/>
      <c r="V22" s="547"/>
      <c r="W22" s="547"/>
      <c r="X22" s="547"/>
      <c r="Y22" s="547"/>
      <c r="Z22" s="547"/>
      <c r="AA22" s="547"/>
      <c r="AB22" s="546"/>
      <c r="AC22" s="546"/>
      <c r="AD22" s="546"/>
      <c r="AE22" s="546"/>
      <c r="AF22" s="546"/>
      <c r="AG22" s="546"/>
      <c r="AH22" s="546"/>
      <c r="AI22" s="546"/>
      <c r="AJ22" s="546"/>
      <c r="AK22" s="546"/>
      <c r="AL22" s="546"/>
      <c r="AM22" s="546"/>
      <c r="AN22" s="546"/>
      <c r="AO22" s="546"/>
      <c r="AP22" s="546"/>
      <c r="AQ22" s="546"/>
      <c r="AR22" s="546"/>
      <c r="AS22" s="546"/>
      <c r="AT22" s="546"/>
      <c r="AU22" s="546"/>
      <c r="AV22" s="546"/>
      <c r="AW22" s="546"/>
      <c r="AX22" s="546"/>
      <c r="AY22" s="546"/>
      <c r="AZ22" s="546"/>
    </row>
    <row r="23" spans="1:52" ht="14">
      <c r="A23" s="552"/>
      <c r="B23" s="569" t="s">
        <v>521</v>
      </c>
      <c r="C23" s="519" t="s">
        <v>251</v>
      </c>
      <c r="D23" s="520">
        <v>0.75</v>
      </c>
      <c r="E23" s="516">
        <v>10.210000000000001</v>
      </c>
      <c r="F23" s="522">
        <f t="shared" si="8"/>
        <v>9.5238095238095229E-3</v>
      </c>
      <c r="G23" s="522">
        <f t="shared" si="0"/>
        <v>0.01</v>
      </c>
      <c r="H23" s="350">
        <f t="shared" si="1"/>
        <v>49.998107009300618</v>
      </c>
      <c r="I23" s="277">
        <f t="shared" si="2"/>
        <v>9.9981070093006181</v>
      </c>
      <c r="J23" s="517">
        <v>2.9667279999999998</v>
      </c>
      <c r="K23" s="518">
        <v>4</v>
      </c>
      <c r="L23" s="522">
        <f t="shared" si="9"/>
        <v>28.254552380952376</v>
      </c>
      <c r="M23" s="564">
        <f t="shared" si="3"/>
        <v>5.487222694951269</v>
      </c>
      <c r="N23" s="564">
        <f t="shared" si="4"/>
        <v>4.1894000867203758</v>
      </c>
      <c r="O23" s="516">
        <f t="shared" si="5"/>
        <v>3.8095238095238092E-2</v>
      </c>
      <c r="P23" s="516">
        <f t="shared" si="6"/>
        <v>2.8571428571428567E-2</v>
      </c>
      <c r="Q23" s="516">
        <f t="shared" si="7"/>
        <v>9.5238095238095229E-3</v>
      </c>
      <c r="R23" s="523">
        <f t="shared" si="10"/>
        <v>1.1090666666666688E-2</v>
      </c>
      <c r="S23" s="547"/>
      <c r="T23" s="547"/>
      <c r="U23" s="547"/>
      <c r="V23" s="547"/>
      <c r="W23" s="547"/>
      <c r="X23" s="547"/>
      <c r="Y23" s="547"/>
      <c r="Z23" s="547"/>
      <c r="AA23" s="547"/>
      <c r="AB23" s="546"/>
      <c r="AC23" s="546"/>
      <c r="AD23" s="546"/>
      <c r="AE23" s="546"/>
      <c r="AF23" s="546"/>
      <c r="AG23" s="546"/>
      <c r="AH23" s="546"/>
      <c r="AI23" s="546"/>
      <c r="AJ23" s="546"/>
      <c r="AK23" s="546"/>
      <c r="AL23" s="546"/>
      <c r="AM23" s="546"/>
      <c r="AN23" s="546"/>
      <c r="AO23" s="546"/>
      <c r="AP23" s="546"/>
      <c r="AQ23" s="546"/>
      <c r="AR23" s="546"/>
      <c r="AS23" s="546"/>
      <c r="AT23" s="546"/>
      <c r="AU23" s="546"/>
      <c r="AV23" s="546"/>
      <c r="AW23" s="546"/>
      <c r="AX23" s="546"/>
      <c r="AY23" s="546"/>
      <c r="AZ23" s="546"/>
    </row>
    <row r="24" spans="1:52" ht="14">
      <c r="A24" s="552"/>
      <c r="B24" s="569" t="s">
        <v>521</v>
      </c>
      <c r="C24" s="519" t="s">
        <v>250</v>
      </c>
      <c r="D24" s="520">
        <v>0.88888888888888884</v>
      </c>
      <c r="E24" s="516">
        <v>10.69</v>
      </c>
      <c r="F24" s="522">
        <f t="shared" si="8"/>
        <v>9.5238095238095229E-3</v>
      </c>
      <c r="G24" s="522">
        <f t="shared" si="0"/>
        <v>0.01</v>
      </c>
      <c r="H24" s="350">
        <f t="shared" si="1"/>
        <v>50.478107009300615</v>
      </c>
      <c r="I24" s="277">
        <f t="shared" si="2"/>
        <v>10.478107009300615</v>
      </c>
      <c r="J24" s="517">
        <v>2.6460119999999998</v>
      </c>
      <c r="K24" s="518">
        <v>3</v>
      </c>
      <c r="L24" s="522">
        <f t="shared" si="9"/>
        <v>25.200114285714282</v>
      </c>
      <c r="M24" s="564">
        <f t="shared" si="3"/>
        <v>6.464081905634969</v>
      </c>
      <c r="N24" s="564">
        <f t="shared" si="4"/>
        <v>5.9187874528033717</v>
      </c>
      <c r="O24" s="516">
        <f t="shared" si="5"/>
        <v>2.8571428571428567E-2</v>
      </c>
      <c r="P24" s="516">
        <f t="shared" si="6"/>
        <v>2.539682539682539E-2</v>
      </c>
      <c r="Q24" s="516">
        <f t="shared" si="7"/>
        <v>3.1746031746031755E-3</v>
      </c>
      <c r="R24" s="523">
        <f t="shared" si="10"/>
        <v>7.7454999999999035E-3</v>
      </c>
      <c r="S24" s="547"/>
      <c r="T24" s="547"/>
      <c r="U24" s="547"/>
      <c r="V24" s="547"/>
      <c r="W24" s="547"/>
      <c r="X24" s="547"/>
      <c r="Y24" s="547"/>
      <c r="Z24" s="547"/>
      <c r="AA24" s="547"/>
      <c r="AB24" s="546"/>
      <c r="AC24" s="546"/>
      <c r="AD24" s="546"/>
      <c r="AE24" s="546"/>
      <c r="AF24" s="546"/>
      <c r="AG24" s="546"/>
      <c r="AH24" s="546"/>
      <c r="AI24" s="546"/>
      <c r="AJ24" s="546"/>
      <c r="AK24" s="546"/>
      <c r="AL24" s="546"/>
      <c r="AM24" s="546"/>
      <c r="AN24" s="546"/>
      <c r="AO24" s="546"/>
      <c r="AP24" s="546"/>
      <c r="AQ24" s="546"/>
      <c r="AR24" s="546"/>
      <c r="AS24" s="546"/>
      <c r="AT24" s="546"/>
      <c r="AU24" s="546"/>
      <c r="AV24" s="546"/>
      <c r="AW24" s="546"/>
      <c r="AX24" s="546"/>
      <c r="AY24" s="546"/>
      <c r="AZ24" s="546"/>
    </row>
    <row r="25" spans="1:52" ht="14">
      <c r="A25" s="552"/>
      <c r="B25" s="569" t="s">
        <v>521</v>
      </c>
      <c r="C25" s="519" t="s">
        <v>250</v>
      </c>
      <c r="D25" s="520">
        <v>0.9</v>
      </c>
      <c r="E25" s="516">
        <v>10.98</v>
      </c>
      <c r="F25" s="522">
        <f t="shared" si="8"/>
        <v>9.5238095238095229E-3</v>
      </c>
      <c r="G25" s="522">
        <f t="shared" si="0"/>
        <v>0.01</v>
      </c>
      <c r="H25" s="350">
        <f t="shared" si="1"/>
        <v>50.768107009300621</v>
      </c>
      <c r="I25" s="277">
        <f t="shared" si="2"/>
        <v>10.768107009300621</v>
      </c>
      <c r="J25" s="517">
        <v>2.6792069999999999</v>
      </c>
      <c r="K25" s="518">
        <v>3</v>
      </c>
      <c r="L25" s="522">
        <f t="shared" si="9"/>
        <v>25.516257142857139</v>
      </c>
      <c r="M25" s="564">
        <f t="shared" si="3"/>
        <v>6.6999373077969979</v>
      </c>
      <c r="N25" s="564">
        <f t="shared" si="4"/>
        <v>6.208787452803378</v>
      </c>
      <c r="O25" s="516">
        <f t="shared" si="5"/>
        <v>2.8571428571428567E-2</v>
      </c>
      <c r="P25" s="516">
        <f t="shared" si="6"/>
        <v>2.571428571428571E-2</v>
      </c>
      <c r="Q25" s="516">
        <f t="shared" si="7"/>
        <v>2.8571428571428563E-3</v>
      </c>
      <c r="R25" s="523">
        <f t="shared" si="10"/>
        <v>7.701111111111077E-3</v>
      </c>
      <c r="S25" s="547"/>
      <c r="T25" s="547"/>
      <c r="U25" s="547"/>
      <c r="V25" s="547"/>
      <c r="W25" s="547"/>
      <c r="X25" s="547"/>
      <c r="Y25" s="547"/>
      <c r="Z25" s="547"/>
      <c r="AA25" s="547"/>
      <c r="AB25" s="546"/>
      <c r="AC25" s="546"/>
      <c r="AD25" s="546"/>
      <c r="AE25" s="546"/>
      <c r="AF25" s="546"/>
      <c r="AG25" s="546"/>
      <c r="AH25" s="546"/>
      <c r="AI25" s="546"/>
      <c r="AJ25" s="546"/>
      <c r="AK25" s="546"/>
      <c r="AL25" s="546"/>
      <c r="AM25" s="546"/>
      <c r="AN25" s="546"/>
      <c r="AO25" s="546"/>
      <c r="AP25" s="546"/>
      <c r="AQ25" s="546"/>
      <c r="AR25" s="546"/>
      <c r="AS25" s="546"/>
      <c r="AT25" s="546"/>
      <c r="AU25" s="546"/>
      <c r="AV25" s="546"/>
      <c r="AW25" s="546"/>
      <c r="AX25" s="546"/>
      <c r="AY25" s="546"/>
      <c r="AZ25" s="546"/>
    </row>
    <row r="26" spans="1:52" ht="14">
      <c r="A26" s="552"/>
      <c r="B26" s="569" t="s">
        <v>521</v>
      </c>
      <c r="C26" s="519" t="s">
        <v>251</v>
      </c>
      <c r="D26" s="520">
        <v>0.8</v>
      </c>
      <c r="E26" s="516">
        <v>11.03</v>
      </c>
      <c r="F26" s="522">
        <f t="shared" si="8"/>
        <v>9.5238095238095229E-3</v>
      </c>
      <c r="G26" s="522">
        <f t="shared" si="0"/>
        <v>0.01</v>
      </c>
      <c r="H26" s="350">
        <f t="shared" si="1"/>
        <v>50.818107009300618</v>
      </c>
      <c r="I26" s="277">
        <f t="shared" si="2"/>
        <v>10.818107009300618</v>
      </c>
      <c r="J26" s="517">
        <v>3.1656230000000001</v>
      </c>
      <c r="K26" s="518">
        <v>4</v>
      </c>
      <c r="L26" s="522">
        <f t="shared" si="9"/>
        <v>30.148790476190474</v>
      </c>
      <c r="M26" s="564">
        <f t="shared" si="3"/>
        <v>6.0254080734122093</v>
      </c>
      <c r="N26" s="564">
        <f t="shared" si="4"/>
        <v>5.0094000867203761</v>
      </c>
      <c r="O26" s="516">
        <f t="shared" si="5"/>
        <v>3.8095238095238092E-2</v>
      </c>
      <c r="P26" s="516">
        <f t="shared" si="6"/>
        <v>3.0476190476190476E-2</v>
      </c>
      <c r="Q26" s="516">
        <f t="shared" si="7"/>
        <v>7.6190476190476164E-3</v>
      </c>
      <c r="R26" s="523">
        <f t="shared" si="10"/>
        <v>1.0742812500000065E-2</v>
      </c>
      <c r="S26" s="547"/>
      <c r="T26" s="547"/>
      <c r="U26" s="547"/>
      <c r="V26" s="547"/>
      <c r="W26" s="547"/>
      <c r="X26" s="547"/>
      <c r="Y26" s="547"/>
      <c r="Z26" s="547"/>
      <c r="AA26" s="547"/>
      <c r="AB26" s="546"/>
      <c r="AC26" s="546"/>
      <c r="AD26" s="546"/>
      <c r="AE26" s="546"/>
      <c r="AF26" s="546"/>
      <c r="AG26" s="546"/>
      <c r="AH26" s="546"/>
      <c r="AI26" s="546"/>
      <c r="AJ26" s="546"/>
      <c r="AK26" s="546"/>
      <c r="AL26" s="546"/>
      <c r="AM26" s="546"/>
      <c r="AN26" s="546"/>
      <c r="AO26" s="546"/>
      <c r="AP26" s="546"/>
      <c r="AQ26" s="546"/>
      <c r="AR26" s="546"/>
      <c r="AS26" s="546"/>
      <c r="AT26" s="546"/>
      <c r="AU26" s="546"/>
      <c r="AV26" s="546"/>
      <c r="AW26" s="546"/>
      <c r="AX26" s="546"/>
      <c r="AY26" s="546"/>
      <c r="AZ26" s="546"/>
    </row>
    <row r="27" spans="1:52" ht="14">
      <c r="A27" s="552"/>
      <c r="B27" s="569" t="s">
        <v>521</v>
      </c>
      <c r="C27" s="519" t="s">
        <v>251</v>
      </c>
      <c r="D27" s="520">
        <v>0.83333333333333337</v>
      </c>
      <c r="E27" s="516">
        <v>11.61</v>
      </c>
      <c r="F27" s="522">
        <f t="shared" si="8"/>
        <v>9.5238095238095229E-3</v>
      </c>
      <c r="G27" s="522">
        <f t="shared" si="0"/>
        <v>0.01</v>
      </c>
      <c r="H27" s="350">
        <f t="shared" si="1"/>
        <v>51.398107009300617</v>
      </c>
      <c r="I27" s="277">
        <f t="shared" si="2"/>
        <v>11.398107009300617</v>
      </c>
      <c r="J27" s="517">
        <v>3.3001839999999998</v>
      </c>
      <c r="K27" s="518">
        <v>4</v>
      </c>
      <c r="L27" s="522">
        <f t="shared" si="9"/>
        <v>31.430323809523806</v>
      </c>
      <c r="M27" s="564">
        <f t="shared" si="3"/>
        <v>6.4246184558970221</v>
      </c>
      <c r="N27" s="564">
        <f t="shared" si="4"/>
        <v>5.5894000867203744</v>
      </c>
      <c r="O27" s="516">
        <f t="shared" si="5"/>
        <v>3.8095238095238092E-2</v>
      </c>
      <c r="P27" s="516">
        <f t="shared" si="6"/>
        <v>3.1746031746031744E-2</v>
      </c>
      <c r="Q27" s="516">
        <f t="shared" si="7"/>
        <v>6.3492063492063475E-3</v>
      </c>
      <c r="R27" s="523">
        <f t="shared" si="10"/>
        <v>9.94480000000008E-3</v>
      </c>
      <c r="S27" s="547"/>
      <c r="T27" s="547"/>
      <c r="U27" s="547"/>
      <c r="V27" s="547"/>
      <c r="W27" s="547"/>
      <c r="X27" s="547"/>
      <c r="Y27" s="547"/>
      <c r="Z27" s="547"/>
      <c r="AA27" s="547"/>
      <c r="AB27" s="546"/>
      <c r="AC27" s="546"/>
      <c r="AD27" s="546"/>
      <c r="AE27" s="546"/>
      <c r="AF27" s="546"/>
      <c r="AG27" s="546"/>
      <c r="AH27" s="546"/>
      <c r="AI27" s="546"/>
      <c r="AJ27" s="546"/>
      <c r="AK27" s="546"/>
      <c r="AL27" s="546"/>
      <c r="AM27" s="546"/>
      <c r="AN27" s="546"/>
      <c r="AO27" s="546"/>
      <c r="AP27" s="546"/>
      <c r="AQ27" s="546"/>
      <c r="AR27" s="546"/>
      <c r="AS27" s="546"/>
      <c r="AT27" s="546"/>
      <c r="AU27" s="546"/>
      <c r="AV27" s="546"/>
      <c r="AW27" s="546"/>
      <c r="AX27" s="546"/>
      <c r="AY27" s="546"/>
      <c r="AZ27" s="546"/>
    </row>
    <row r="28" spans="1:52" ht="14">
      <c r="A28" s="552"/>
      <c r="B28" s="569" t="s">
        <v>521</v>
      </c>
      <c r="C28" s="519" t="s">
        <v>252</v>
      </c>
      <c r="D28" s="520">
        <v>0.75</v>
      </c>
      <c r="E28" s="516">
        <v>12.73</v>
      </c>
      <c r="F28" s="522">
        <f t="shared" si="8"/>
        <v>9.5238095238095229E-3</v>
      </c>
      <c r="G28" s="522">
        <f t="shared" si="0"/>
        <v>0.01</v>
      </c>
      <c r="H28" s="350">
        <f t="shared" si="1"/>
        <v>52.518107009300621</v>
      </c>
      <c r="I28" s="277">
        <f t="shared" si="2"/>
        <v>12.518107009300621</v>
      </c>
      <c r="J28" s="517">
        <v>3.7032949999999998</v>
      </c>
      <c r="K28" s="518">
        <v>5</v>
      </c>
      <c r="L28" s="522">
        <f t="shared" si="9"/>
        <v>35.269476190476183</v>
      </c>
      <c r="M28" s="564">
        <f t="shared" si="3"/>
        <v>7.0441169119948848</v>
      </c>
      <c r="N28" s="564">
        <f t="shared" si="4"/>
        <v>5.7402999566398165</v>
      </c>
      <c r="O28" s="516">
        <f t="shared" si="5"/>
        <v>4.7619047619047616E-2</v>
      </c>
      <c r="P28" s="516">
        <f t="shared" si="6"/>
        <v>3.5714285714285712E-2</v>
      </c>
      <c r="Q28" s="516">
        <f t="shared" si="7"/>
        <v>1.1904761904761904E-2</v>
      </c>
      <c r="R28" s="523">
        <f t="shared" si="10"/>
        <v>1.245466666666678E-2</v>
      </c>
      <c r="S28" s="547"/>
      <c r="T28" s="547"/>
      <c r="U28" s="547"/>
      <c r="V28" s="547"/>
      <c r="W28" s="547"/>
      <c r="X28" s="547"/>
      <c r="Y28" s="547"/>
      <c r="Z28" s="547"/>
      <c r="AA28" s="547"/>
      <c r="AB28" s="546"/>
      <c r="AC28" s="546"/>
      <c r="AD28" s="546"/>
      <c r="AE28" s="546"/>
      <c r="AF28" s="546"/>
      <c r="AG28" s="546"/>
      <c r="AH28" s="546"/>
      <c r="AI28" s="546"/>
      <c r="AJ28" s="546"/>
      <c r="AK28" s="546"/>
      <c r="AL28" s="546"/>
      <c r="AM28" s="546"/>
      <c r="AN28" s="546"/>
      <c r="AO28" s="546"/>
      <c r="AP28" s="546"/>
      <c r="AQ28" s="546"/>
      <c r="AR28" s="546"/>
      <c r="AS28" s="546"/>
      <c r="AT28" s="546"/>
      <c r="AU28" s="546"/>
      <c r="AV28" s="546"/>
      <c r="AW28" s="546"/>
      <c r="AX28" s="546"/>
      <c r="AY28" s="546"/>
      <c r="AZ28" s="546"/>
    </row>
    <row r="29" spans="1:52" ht="14">
      <c r="A29" s="552"/>
      <c r="B29" s="569" t="s">
        <v>521</v>
      </c>
      <c r="C29" s="519" t="s">
        <v>251</v>
      </c>
      <c r="D29" s="520">
        <v>0.88888888888888884</v>
      </c>
      <c r="E29" s="516">
        <v>12.89</v>
      </c>
      <c r="F29" s="522">
        <f t="shared" si="8"/>
        <v>9.5238095238095229E-3</v>
      </c>
      <c r="G29" s="522">
        <f t="shared" si="0"/>
        <v>0.01</v>
      </c>
      <c r="H29" s="350">
        <f t="shared" si="1"/>
        <v>52.678107009300618</v>
      </c>
      <c r="I29" s="277">
        <f t="shared" si="2"/>
        <v>12.678107009300618</v>
      </c>
      <c r="J29" s="517">
        <v>3.5231430000000001</v>
      </c>
      <c r="K29" s="518">
        <v>4</v>
      </c>
      <c r="L29" s="522">
        <f t="shared" si="9"/>
        <v>33.553742857142851</v>
      </c>
      <c r="M29" s="564">
        <f t="shared" si="3"/>
        <v>7.4206972898721313</v>
      </c>
      <c r="N29" s="564">
        <f t="shared" si="4"/>
        <v>6.8694000867203755</v>
      </c>
      <c r="O29" s="516">
        <f t="shared" si="5"/>
        <v>3.8095238095238092E-2</v>
      </c>
      <c r="P29" s="516">
        <f t="shared" si="6"/>
        <v>3.3862433862433858E-2</v>
      </c>
      <c r="Q29" s="516">
        <f t="shared" si="7"/>
        <v>4.232804232804234E-3</v>
      </c>
      <c r="R29" s="523">
        <f t="shared" si="10"/>
        <v>9.1160312500001561E-3</v>
      </c>
      <c r="S29" s="547"/>
      <c r="T29" s="547"/>
      <c r="U29" s="547"/>
      <c r="V29" s="547"/>
      <c r="W29" s="547"/>
      <c r="X29" s="547"/>
      <c r="Y29" s="547"/>
      <c r="Z29" s="547"/>
      <c r="AA29" s="547"/>
      <c r="AB29" s="546"/>
      <c r="AC29" s="546"/>
      <c r="AD29" s="546"/>
      <c r="AE29" s="546"/>
      <c r="AF29" s="546"/>
      <c r="AG29" s="546"/>
      <c r="AH29" s="546"/>
      <c r="AI29" s="546"/>
      <c r="AJ29" s="546"/>
      <c r="AK29" s="546"/>
      <c r="AL29" s="546"/>
      <c r="AM29" s="546"/>
      <c r="AN29" s="546"/>
      <c r="AO29" s="546"/>
      <c r="AP29" s="546"/>
      <c r="AQ29" s="546"/>
      <c r="AR29" s="546"/>
      <c r="AS29" s="546"/>
      <c r="AT29" s="546"/>
      <c r="AU29" s="546"/>
      <c r="AV29" s="546"/>
      <c r="AW29" s="546"/>
      <c r="AX29" s="546"/>
      <c r="AY29" s="546"/>
      <c r="AZ29" s="546"/>
    </row>
    <row r="30" spans="1:52" ht="14">
      <c r="A30" s="552"/>
      <c r="B30" s="569" t="s">
        <v>521</v>
      </c>
      <c r="C30" s="519" t="s">
        <v>251</v>
      </c>
      <c r="D30" s="520">
        <v>0.9</v>
      </c>
      <c r="E30" s="516">
        <v>13.13</v>
      </c>
      <c r="F30" s="522">
        <f t="shared" si="8"/>
        <v>9.5238095238095229E-3</v>
      </c>
      <c r="G30" s="522">
        <f t="shared" si="0"/>
        <v>0.01</v>
      </c>
      <c r="H30" s="350">
        <f t="shared" si="1"/>
        <v>52.91810700930062</v>
      </c>
      <c r="I30" s="277">
        <f t="shared" si="2"/>
        <v>12.91810700930062</v>
      </c>
      <c r="J30" s="517">
        <v>3.567342</v>
      </c>
      <c r="K30" s="518">
        <v>4</v>
      </c>
      <c r="L30" s="522">
        <f t="shared" si="9"/>
        <v>33.974685714285712</v>
      </c>
      <c r="M30" s="564">
        <f t="shared" si="3"/>
        <v>7.6065525298491998</v>
      </c>
      <c r="N30" s="564">
        <f t="shared" si="4"/>
        <v>7.1094000867203775</v>
      </c>
      <c r="O30" s="516">
        <f t="shared" si="5"/>
        <v>3.8095238095238092E-2</v>
      </c>
      <c r="P30" s="516">
        <f t="shared" si="6"/>
        <v>3.428571428571428E-2</v>
      </c>
      <c r="Q30" s="516">
        <f t="shared" si="7"/>
        <v>3.8095238095238082E-3</v>
      </c>
      <c r="R30" s="523">
        <f t="shared" si="10"/>
        <v>9.0716666666665977E-3</v>
      </c>
      <c r="S30" s="547"/>
      <c r="T30" s="547"/>
      <c r="U30" s="547"/>
      <c r="V30" s="547"/>
      <c r="W30" s="547"/>
      <c r="X30" s="547"/>
      <c r="Y30" s="547"/>
      <c r="Z30" s="547"/>
      <c r="AA30" s="547"/>
      <c r="AB30" s="546"/>
      <c r="AC30" s="546"/>
      <c r="AD30" s="546"/>
      <c r="AE30" s="546"/>
      <c r="AF30" s="546"/>
      <c r="AG30" s="546"/>
      <c r="AH30" s="546"/>
      <c r="AI30" s="546"/>
      <c r="AJ30" s="546"/>
      <c r="AK30" s="546"/>
      <c r="AL30" s="546"/>
      <c r="AM30" s="546"/>
      <c r="AN30" s="546"/>
      <c r="AO30" s="546"/>
      <c r="AP30" s="546"/>
      <c r="AQ30" s="546"/>
      <c r="AR30" s="546"/>
      <c r="AS30" s="546"/>
      <c r="AT30" s="546"/>
      <c r="AU30" s="546"/>
      <c r="AV30" s="546"/>
      <c r="AW30" s="546"/>
      <c r="AX30" s="546"/>
      <c r="AY30" s="546"/>
      <c r="AZ30" s="546"/>
    </row>
    <row r="31" spans="1:52" ht="14">
      <c r="A31" s="552"/>
      <c r="B31" s="569" t="s">
        <v>521</v>
      </c>
      <c r="C31" s="519" t="s">
        <v>252</v>
      </c>
      <c r="D31" s="520">
        <v>0.8</v>
      </c>
      <c r="E31" s="516">
        <v>13.64</v>
      </c>
      <c r="F31" s="522">
        <f t="shared" si="8"/>
        <v>9.5238095238095229E-3</v>
      </c>
      <c r="G31" s="522">
        <f t="shared" si="0"/>
        <v>0.01</v>
      </c>
      <c r="H31" s="350">
        <f t="shared" si="1"/>
        <v>53.428107009300618</v>
      </c>
      <c r="I31" s="277">
        <f t="shared" si="2"/>
        <v>13.428107009300618</v>
      </c>
      <c r="J31" s="517">
        <v>3.9515709999999999</v>
      </c>
      <c r="K31" s="518">
        <v>5</v>
      </c>
      <c r="L31" s="522">
        <f t="shared" si="9"/>
        <v>37.634009523809517</v>
      </c>
      <c r="M31" s="564">
        <f t="shared" si="3"/>
        <v>7.6723021045227782</v>
      </c>
      <c r="N31" s="564">
        <f t="shared" si="4"/>
        <v>6.6502999566398131</v>
      </c>
      <c r="O31" s="516">
        <f t="shared" si="5"/>
        <v>4.7619047619047616E-2</v>
      </c>
      <c r="P31" s="516">
        <f t="shared" si="6"/>
        <v>3.8095238095238099E-2</v>
      </c>
      <c r="Q31" s="516">
        <f t="shared" si="7"/>
        <v>9.5238095238095212E-3</v>
      </c>
      <c r="R31" s="523">
        <f t="shared" si="10"/>
        <v>1.2107250000000199E-2</v>
      </c>
      <c r="S31" s="547"/>
      <c r="T31" s="547"/>
      <c r="U31" s="547"/>
      <c r="V31" s="547"/>
      <c r="W31" s="547"/>
      <c r="X31" s="547"/>
      <c r="Y31" s="547"/>
      <c r="Z31" s="547"/>
      <c r="AA31" s="547"/>
      <c r="AB31" s="546"/>
      <c r="AC31" s="546"/>
      <c r="AD31" s="546"/>
      <c r="AE31" s="546"/>
      <c r="AF31" s="546"/>
      <c r="AG31" s="546"/>
      <c r="AH31" s="546"/>
      <c r="AI31" s="546"/>
      <c r="AJ31" s="546"/>
      <c r="AK31" s="546"/>
      <c r="AL31" s="546"/>
      <c r="AM31" s="546"/>
      <c r="AN31" s="546"/>
      <c r="AO31" s="546"/>
      <c r="AP31" s="546"/>
      <c r="AQ31" s="546"/>
      <c r="AR31" s="546"/>
      <c r="AS31" s="546"/>
      <c r="AT31" s="546"/>
      <c r="AU31" s="546"/>
      <c r="AV31" s="546"/>
      <c r="AW31" s="546"/>
      <c r="AX31" s="546"/>
      <c r="AY31" s="546"/>
      <c r="AZ31" s="546"/>
    </row>
    <row r="32" spans="1:52" ht="14">
      <c r="A32" s="552"/>
      <c r="B32" s="569" t="s">
        <v>521</v>
      </c>
      <c r="C32" s="519" t="s">
        <v>252</v>
      </c>
      <c r="D32" s="520">
        <v>0.83333333333333337</v>
      </c>
      <c r="E32" s="516">
        <v>14.28</v>
      </c>
      <c r="F32" s="522">
        <f t="shared" si="8"/>
        <v>9.5238095238095229E-3</v>
      </c>
      <c r="G32" s="522">
        <f t="shared" si="0"/>
        <v>0.01</v>
      </c>
      <c r="H32" s="350">
        <f t="shared" si="1"/>
        <v>54.068107009300618</v>
      </c>
      <c r="I32" s="277">
        <f t="shared" si="2"/>
        <v>14.068107009300618</v>
      </c>
      <c r="J32" s="517">
        <v>4.1195399999999998</v>
      </c>
      <c r="K32" s="518">
        <v>5</v>
      </c>
      <c r="L32" s="522">
        <f t="shared" si="9"/>
        <v>39.233714285714278</v>
      </c>
      <c r="M32" s="564">
        <f t="shared" si="3"/>
        <v>8.1315127586371467</v>
      </c>
      <c r="N32" s="564">
        <f t="shared" si="4"/>
        <v>7.2902999566398137</v>
      </c>
      <c r="O32" s="516">
        <f t="shared" si="5"/>
        <v>4.7619047619047616E-2</v>
      </c>
      <c r="P32" s="516">
        <f t="shared" si="6"/>
        <v>3.968253968253968E-2</v>
      </c>
      <c r="Q32" s="516">
        <f t="shared" si="7"/>
        <v>7.9365079365079343E-3</v>
      </c>
      <c r="R32" s="523">
        <f t="shared" si="10"/>
        <v>1.1310400000000227E-2</v>
      </c>
      <c r="S32" s="547"/>
      <c r="T32" s="547"/>
      <c r="U32" s="547"/>
      <c r="V32" s="547"/>
      <c r="W32" s="547"/>
      <c r="X32" s="547"/>
      <c r="Y32" s="547"/>
      <c r="Z32" s="547"/>
      <c r="AA32" s="547"/>
      <c r="AB32" s="546"/>
      <c r="AC32" s="546"/>
      <c r="AD32" s="546"/>
      <c r="AE32" s="546"/>
      <c r="AF32" s="546"/>
      <c r="AG32" s="546"/>
      <c r="AH32" s="546"/>
      <c r="AI32" s="546"/>
      <c r="AJ32" s="546"/>
      <c r="AK32" s="546"/>
      <c r="AL32" s="546"/>
      <c r="AM32" s="546"/>
      <c r="AN32" s="546"/>
      <c r="AO32" s="546"/>
      <c r="AP32" s="546"/>
      <c r="AQ32" s="546"/>
      <c r="AR32" s="546"/>
      <c r="AS32" s="546"/>
      <c r="AT32" s="546"/>
      <c r="AU32" s="546"/>
      <c r="AV32" s="546"/>
      <c r="AW32" s="546"/>
      <c r="AX32" s="546"/>
      <c r="AY32" s="546"/>
      <c r="AZ32" s="546"/>
    </row>
    <row r="33" spans="1:52" ht="14">
      <c r="A33" s="552"/>
      <c r="B33" s="569" t="s">
        <v>521</v>
      </c>
      <c r="C33" s="519" t="s">
        <v>252</v>
      </c>
      <c r="D33" s="520">
        <v>0.88888888888888884</v>
      </c>
      <c r="E33" s="516">
        <v>15.69</v>
      </c>
      <c r="F33" s="522">
        <f t="shared" si="8"/>
        <v>9.5238095238095229E-3</v>
      </c>
      <c r="G33" s="522">
        <f t="shared" si="0"/>
        <v>0.01</v>
      </c>
      <c r="H33" s="350">
        <f t="shared" si="1"/>
        <v>55.478107009300615</v>
      </c>
      <c r="I33" s="277">
        <f t="shared" si="2"/>
        <v>15.478107009300615</v>
      </c>
      <c r="J33" s="517">
        <v>4.3978539999999997</v>
      </c>
      <c r="K33" s="518">
        <v>5</v>
      </c>
      <c r="L33" s="522">
        <f t="shared" si="9"/>
        <v>41.884323809523806</v>
      </c>
      <c r="M33" s="564">
        <f t="shared" si="3"/>
        <v>9.2575919244836147</v>
      </c>
      <c r="N33" s="564">
        <f t="shared" si="4"/>
        <v>8.7002999566398103</v>
      </c>
      <c r="O33" s="516">
        <f t="shared" si="5"/>
        <v>4.7619047619047616E-2</v>
      </c>
      <c r="P33" s="516">
        <f t="shared" si="6"/>
        <v>4.2328042328042326E-2</v>
      </c>
      <c r="Q33" s="516">
        <f t="shared" si="7"/>
        <v>5.2910052910052933E-3</v>
      </c>
      <c r="R33" s="523">
        <f t="shared" si="10"/>
        <v>1.0482850000000094E-2</v>
      </c>
      <c r="S33" s="547"/>
      <c r="T33" s="547"/>
      <c r="U33" s="547"/>
      <c r="V33" s="547"/>
      <c r="W33" s="547"/>
      <c r="X33" s="547"/>
      <c r="Y33" s="547"/>
      <c r="Z33" s="547"/>
      <c r="AA33" s="547"/>
      <c r="AB33" s="546"/>
      <c r="AC33" s="546"/>
      <c r="AD33" s="546"/>
      <c r="AE33" s="546"/>
      <c r="AF33" s="546"/>
      <c r="AG33" s="546"/>
      <c r="AH33" s="546"/>
      <c r="AI33" s="546"/>
      <c r="AJ33" s="546"/>
      <c r="AK33" s="546"/>
      <c r="AL33" s="546"/>
      <c r="AM33" s="546"/>
      <c r="AN33" s="546"/>
      <c r="AO33" s="546"/>
      <c r="AP33" s="546"/>
      <c r="AQ33" s="546"/>
      <c r="AR33" s="546"/>
      <c r="AS33" s="546"/>
      <c r="AT33" s="546"/>
      <c r="AU33" s="546"/>
      <c r="AV33" s="546"/>
      <c r="AW33" s="546"/>
      <c r="AX33" s="546"/>
      <c r="AY33" s="546"/>
      <c r="AZ33" s="546"/>
    </row>
    <row r="34" spans="1:52" ht="14">
      <c r="A34" s="552"/>
      <c r="B34" s="569" t="s">
        <v>521</v>
      </c>
      <c r="C34" s="519" t="s">
        <v>252</v>
      </c>
      <c r="D34" s="520">
        <v>0.9</v>
      </c>
      <c r="E34" s="516">
        <v>16.05</v>
      </c>
      <c r="F34" s="522">
        <f t="shared" si="8"/>
        <v>9.5238095238095229E-3</v>
      </c>
      <c r="G34" s="522">
        <f t="shared" si="0"/>
        <v>0.01</v>
      </c>
      <c r="H34" s="350">
        <f t="shared" si="1"/>
        <v>55.838107009300614</v>
      </c>
      <c r="I34" s="277">
        <f t="shared" si="2"/>
        <v>15.838107009300614</v>
      </c>
      <c r="J34" s="517">
        <v>4.4530269999999996</v>
      </c>
      <c r="K34" s="518">
        <v>5</v>
      </c>
      <c r="L34" s="522">
        <f t="shared" si="9"/>
        <v>42.409780952380949</v>
      </c>
      <c r="M34" s="564">
        <f t="shared" si="3"/>
        <v>9.5634467160682739</v>
      </c>
      <c r="N34" s="564">
        <f t="shared" si="4"/>
        <v>9.0602999566398097</v>
      </c>
      <c r="O34" s="516">
        <f t="shared" si="5"/>
        <v>4.7619047619047616E-2</v>
      </c>
      <c r="P34" s="516">
        <f t="shared" si="6"/>
        <v>4.2857142857142858E-2</v>
      </c>
      <c r="Q34" s="516">
        <f t="shared" si="7"/>
        <v>4.7619047619047606E-3</v>
      </c>
      <c r="R34" s="523">
        <f t="shared" si="10"/>
        <v>1.0438444444444602E-2</v>
      </c>
      <c r="S34" s="547"/>
      <c r="T34" s="547"/>
      <c r="U34" s="547"/>
      <c r="V34" s="547"/>
      <c r="W34" s="547"/>
      <c r="X34" s="547"/>
      <c r="Y34" s="547"/>
      <c r="Z34" s="547"/>
      <c r="AA34" s="547"/>
      <c r="AB34" s="546"/>
      <c r="AC34" s="546"/>
      <c r="AD34" s="546"/>
      <c r="AE34" s="546"/>
      <c r="AF34" s="546"/>
      <c r="AG34" s="546"/>
      <c r="AH34" s="546"/>
      <c r="AI34" s="546"/>
      <c r="AJ34" s="546"/>
      <c r="AK34" s="546"/>
      <c r="AL34" s="546"/>
      <c r="AM34" s="546"/>
      <c r="AN34" s="546"/>
      <c r="AO34" s="546"/>
      <c r="AP34" s="546"/>
      <c r="AQ34" s="546"/>
      <c r="AR34" s="546"/>
      <c r="AS34" s="546"/>
      <c r="AT34" s="546"/>
      <c r="AU34" s="546"/>
      <c r="AV34" s="546"/>
      <c r="AW34" s="546"/>
      <c r="AX34" s="546"/>
      <c r="AY34" s="546"/>
      <c r="AZ34" s="546"/>
    </row>
    <row r="35" spans="1:52">
      <c r="A35" s="552"/>
      <c r="B35" s="568"/>
      <c r="C35" s="278"/>
      <c r="D35" s="278"/>
      <c r="E35" s="278"/>
      <c r="F35" s="279"/>
      <c r="G35" s="279"/>
      <c r="H35" s="351"/>
      <c r="I35" s="279"/>
      <c r="J35" s="280"/>
      <c r="K35" s="278"/>
      <c r="L35" s="281"/>
      <c r="M35" s="278"/>
      <c r="N35" s="279"/>
      <c r="O35" s="279"/>
      <c r="P35" s="282"/>
      <c r="Q35" s="282"/>
      <c r="R35" s="283"/>
      <c r="S35" s="547"/>
      <c r="T35" s="547"/>
      <c r="U35" s="547"/>
      <c r="V35" s="547"/>
      <c r="W35" s="547"/>
      <c r="X35" s="547"/>
      <c r="Y35" s="547"/>
      <c r="Z35" s="547"/>
      <c r="AA35" s="547"/>
      <c r="AB35" s="546"/>
      <c r="AC35" s="546"/>
      <c r="AD35" s="546"/>
      <c r="AE35" s="546"/>
      <c r="AF35" s="546"/>
      <c r="AG35" s="546"/>
      <c r="AH35" s="546"/>
      <c r="AI35" s="546"/>
      <c r="AJ35" s="546"/>
      <c r="AK35" s="546"/>
      <c r="AL35" s="546"/>
      <c r="AM35" s="546"/>
      <c r="AN35" s="546"/>
      <c r="AO35" s="546"/>
      <c r="AP35" s="546"/>
      <c r="AQ35" s="546"/>
      <c r="AR35" s="546"/>
      <c r="AS35" s="546"/>
      <c r="AT35" s="546"/>
      <c r="AU35" s="546"/>
      <c r="AV35" s="546"/>
      <c r="AW35" s="546"/>
      <c r="AX35" s="546"/>
      <c r="AY35" s="546"/>
      <c r="AZ35" s="546"/>
    </row>
    <row r="36" spans="1:52">
      <c r="A36" s="546"/>
      <c r="B36" s="546"/>
      <c r="C36" s="553"/>
      <c r="D36" s="553"/>
      <c r="E36" s="553"/>
      <c r="F36" s="547"/>
      <c r="G36" s="547"/>
      <c r="H36" s="547"/>
      <c r="I36" s="547"/>
      <c r="J36" s="555"/>
      <c r="K36" s="553"/>
      <c r="L36" s="556"/>
      <c r="M36" s="553"/>
      <c r="N36" s="547"/>
      <c r="O36" s="547"/>
      <c r="P36" s="547"/>
      <c r="Q36" s="547"/>
      <c r="R36" s="547"/>
      <c r="S36" s="547"/>
      <c r="T36" s="547"/>
      <c r="U36" s="547"/>
      <c r="V36" s="547"/>
      <c r="W36" s="547"/>
      <c r="X36" s="547"/>
      <c r="Y36" s="547"/>
      <c r="Z36" s="547"/>
      <c r="AA36" s="547"/>
      <c r="AB36" s="546"/>
      <c r="AC36" s="546"/>
      <c r="AD36" s="546"/>
      <c r="AE36" s="546"/>
      <c r="AF36" s="546"/>
      <c r="AG36" s="546"/>
      <c r="AH36" s="546"/>
      <c r="AI36" s="546"/>
      <c r="AJ36" s="546"/>
      <c r="AK36" s="546"/>
      <c r="AL36" s="546"/>
      <c r="AM36" s="546"/>
      <c r="AN36" s="546"/>
      <c r="AO36" s="546"/>
      <c r="AP36" s="546"/>
      <c r="AQ36" s="546"/>
      <c r="AR36" s="546"/>
      <c r="AS36" s="546"/>
      <c r="AT36" s="546"/>
      <c r="AU36" s="546"/>
      <c r="AV36" s="546"/>
      <c r="AW36" s="546"/>
      <c r="AX36" s="546"/>
      <c r="AY36" s="546"/>
      <c r="AZ36" s="546"/>
    </row>
    <row r="37" spans="1:52">
      <c r="A37" s="546"/>
      <c r="B37" s="546"/>
      <c r="C37" s="553"/>
      <c r="D37" s="553"/>
      <c r="E37" s="553"/>
      <c r="F37" s="547"/>
      <c r="G37" s="547"/>
      <c r="H37" s="547"/>
      <c r="I37" s="547"/>
      <c r="J37" s="547"/>
      <c r="K37" s="553"/>
      <c r="L37" s="556"/>
      <c r="M37" s="553"/>
      <c r="N37" s="547" t="s">
        <v>3</v>
      </c>
      <c r="O37" s="547"/>
      <c r="P37" s="547"/>
      <c r="Q37" s="547"/>
      <c r="R37" s="547"/>
      <c r="S37" s="547"/>
      <c r="T37" s="547"/>
      <c r="U37" s="547"/>
      <c r="V37" s="547"/>
      <c r="W37" s="547"/>
      <c r="X37" s="547"/>
      <c r="Y37" s="547"/>
      <c r="Z37" s="547"/>
      <c r="AA37" s="547"/>
      <c r="AB37" s="546"/>
      <c r="AC37" s="546"/>
      <c r="AD37" s="546"/>
      <c r="AE37" s="546"/>
      <c r="AF37" s="546"/>
      <c r="AG37" s="546"/>
      <c r="AH37" s="546"/>
      <c r="AI37" s="546"/>
      <c r="AJ37" s="546"/>
      <c r="AK37" s="546"/>
      <c r="AL37" s="546"/>
      <c r="AM37" s="546"/>
      <c r="AN37" s="546"/>
      <c r="AO37" s="546"/>
      <c r="AP37" s="546"/>
      <c r="AQ37" s="546"/>
      <c r="AR37" s="546"/>
      <c r="AS37" s="546"/>
      <c r="AT37" s="546"/>
      <c r="AU37" s="546"/>
      <c r="AV37" s="546"/>
      <c r="AW37" s="546"/>
      <c r="AX37" s="546"/>
      <c r="AY37" s="546"/>
      <c r="AZ37" s="546"/>
    </row>
    <row r="38" spans="1:52">
      <c r="A38" s="546"/>
      <c r="B38" s="546"/>
      <c r="C38" s="546"/>
      <c r="D38" s="546"/>
      <c r="E38" s="546"/>
      <c r="F38" s="546"/>
      <c r="G38" s="779" t="s">
        <v>3</v>
      </c>
      <c r="H38" s="546"/>
      <c r="I38" s="546"/>
      <c r="J38" s="546"/>
      <c r="K38" s="546"/>
      <c r="L38" s="546"/>
      <c r="M38" s="546"/>
      <c r="N38" s="546"/>
      <c r="O38" s="546"/>
      <c r="P38" s="546"/>
      <c r="Q38" s="546" t="s">
        <v>3</v>
      </c>
      <c r="R38" s="546"/>
      <c r="S38" s="546"/>
      <c r="T38" s="546"/>
      <c r="U38" s="546"/>
      <c r="V38" s="546"/>
      <c r="W38" s="546"/>
      <c r="X38" s="546"/>
      <c r="Y38" s="546"/>
      <c r="Z38" s="546"/>
      <c r="AA38" s="546"/>
      <c r="AB38" s="546"/>
      <c r="AC38" s="546"/>
      <c r="AD38" s="546"/>
      <c r="AE38" s="546"/>
      <c r="AF38" s="546"/>
      <c r="AG38" s="546"/>
      <c r="AH38" s="546"/>
      <c r="AI38" s="546"/>
      <c r="AJ38" s="546"/>
      <c r="AK38" s="546"/>
      <c r="AL38" s="546"/>
      <c r="AM38" s="546"/>
      <c r="AN38" s="546"/>
      <c r="AO38" s="546"/>
      <c r="AP38" s="546"/>
      <c r="AQ38" s="546"/>
      <c r="AR38" s="546"/>
      <c r="AS38" s="546"/>
      <c r="AT38" s="546"/>
      <c r="AU38" s="546"/>
      <c r="AV38" s="546"/>
      <c r="AW38" s="546"/>
      <c r="AX38" s="546"/>
      <c r="AY38" s="546"/>
      <c r="AZ38" s="546"/>
    </row>
    <row r="39" spans="1:52">
      <c r="A39" s="546"/>
      <c r="B39" s="546"/>
      <c r="C39" s="546"/>
      <c r="D39" s="546"/>
      <c r="E39" s="546"/>
      <c r="F39" s="546"/>
      <c r="G39" s="546"/>
      <c r="H39" s="546"/>
      <c r="I39" s="546"/>
      <c r="J39" s="546"/>
      <c r="K39" s="546"/>
      <c r="L39" s="546"/>
      <c r="M39" s="546"/>
      <c r="N39" s="546"/>
      <c r="O39" s="546"/>
      <c r="P39" s="546"/>
      <c r="Q39" s="546"/>
      <c r="R39" s="546"/>
      <c r="S39" s="546"/>
      <c r="T39" s="546"/>
      <c r="U39" s="546"/>
      <c r="V39" s="546"/>
      <c r="W39" s="546"/>
      <c r="X39" s="546"/>
      <c r="Y39" s="546"/>
      <c r="Z39" s="546"/>
      <c r="AA39" s="546"/>
      <c r="AB39" s="546"/>
      <c r="AC39" s="546"/>
      <c r="AD39" s="546"/>
      <c r="AE39" s="546"/>
      <c r="AF39" s="546"/>
      <c r="AG39" s="546"/>
      <c r="AH39" s="546"/>
      <c r="AI39" s="546"/>
      <c r="AJ39" s="546"/>
      <c r="AK39" s="546"/>
      <c r="AL39" s="546"/>
      <c r="AM39" s="546"/>
      <c r="AN39" s="546"/>
      <c r="AO39" s="546"/>
      <c r="AP39" s="546"/>
      <c r="AQ39" s="546"/>
      <c r="AR39" s="546"/>
      <c r="AS39" s="546"/>
      <c r="AT39" s="546"/>
      <c r="AU39" s="546"/>
      <c r="AV39" s="546"/>
      <c r="AW39" s="546"/>
      <c r="AX39" s="546"/>
      <c r="AY39" s="546"/>
      <c r="AZ39" s="546"/>
    </row>
    <row r="40" spans="1:52">
      <c r="A40" s="546"/>
      <c r="B40" s="546"/>
      <c r="C40" s="546"/>
      <c r="D40" s="546"/>
      <c r="E40" s="546"/>
      <c r="F40" s="546"/>
      <c r="G40" s="546"/>
      <c r="H40" s="546"/>
      <c r="I40" s="546"/>
      <c r="J40" s="546"/>
      <c r="K40" s="546"/>
      <c r="L40" s="546"/>
      <c r="M40" s="546"/>
      <c r="N40" s="546"/>
      <c r="O40" s="546"/>
      <c r="P40" s="546"/>
      <c r="Q40" s="546"/>
      <c r="R40" s="546"/>
      <c r="S40" s="546"/>
      <c r="T40" s="546"/>
      <c r="U40" s="546"/>
      <c r="V40" s="546"/>
      <c r="W40" s="546"/>
      <c r="X40" s="546"/>
      <c r="Y40" s="546"/>
      <c r="Z40" s="546"/>
      <c r="AA40" s="546"/>
      <c r="AB40" s="546"/>
      <c r="AC40" s="546"/>
      <c r="AD40" s="546"/>
      <c r="AE40" s="546"/>
      <c r="AF40" s="546"/>
      <c r="AG40" s="546"/>
      <c r="AH40" s="546"/>
      <c r="AI40" s="546"/>
      <c r="AJ40" s="546"/>
      <c r="AK40" s="546"/>
      <c r="AL40" s="546"/>
      <c r="AM40" s="546"/>
      <c r="AN40" s="546"/>
      <c r="AO40" s="546"/>
      <c r="AP40" s="546"/>
      <c r="AQ40" s="546"/>
      <c r="AR40" s="546"/>
      <c r="AS40" s="546"/>
      <c r="AT40" s="546"/>
      <c r="AU40" s="546"/>
      <c r="AV40" s="546"/>
      <c r="AW40" s="546"/>
      <c r="AX40" s="546"/>
      <c r="AY40" s="546"/>
      <c r="AZ40" s="546"/>
    </row>
    <row r="41" spans="1:52">
      <c r="A41" s="546"/>
      <c r="B41" s="546"/>
      <c r="C41" s="546"/>
      <c r="D41" s="546"/>
      <c r="E41" s="546"/>
      <c r="F41" s="546"/>
      <c r="G41" s="546"/>
      <c r="H41" s="546"/>
      <c r="I41" s="546"/>
      <c r="J41" s="546"/>
      <c r="K41" s="546"/>
      <c r="L41" s="546"/>
      <c r="M41" s="546"/>
      <c r="N41" s="546"/>
      <c r="O41" s="546"/>
      <c r="P41" s="546"/>
      <c r="Q41" s="546"/>
      <c r="R41" s="546"/>
      <c r="S41" s="546"/>
      <c r="T41" s="546"/>
      <c r="U41" s="546"/>
      <c r="V41" s="546"/>
      <c r="W41" s="546"/>
      <c r="X41" s="546"/>
      <c r="Y41" s="546"/>
      <c r="Z41" s="546"/>
      <c r="AA41" s="546"/>
      <c r="AB41" s="546"/>
      <c r="AC41" s="546"/>
      <c r="AD41" s="546"/>
      <c r="AE41" s="546"/>
      <c r="AF41" s="546"/>
      <c r="AG41" s="546"/>
      <c r="AH41" s="546"/>
      <c r="AI41" s="546"/>
      <c r="AJ41" s="546"/>
      <c r="AK41" s="546"/>
      <c r="AL41" s="546"/>
      <c r="AM41" s="546"/>
      <c r="AN41" s="546"/>
      <c r="AO41" s="546"/>
      <c r="AP41" s="546"/>
      <c r="AQ41" s="546"/>
      <c r="AR41" s="546"/>
      <c r="AS41" s="546"/>
      <c r="AT41" s="546"/>
      <c r="AU41" s="546"/>
      <c r="AV41" s="546"/>
      <c r="AW41" s="546"/>
      <c r="AX41" s="546"/>
      <c r="AY41" s="546"/>
      <c r="AZ41" s="546"/>
    </row>
    <row r="42" spans="1:52">
      <c r="A42" s="546"/>
      <c r="B42" s="546"/>
      <c r="C42" s="546"/>
      <c r="D42" s="546"/>
      <c r="E42" s="546"/>
      <c r="F42" s="546"/>
      <c r="G42" s="546"/>
      <c r="H42" s="546"/>
      <c r="I42" s="546"/>
      <c r="J42" s="546"/>
      <c r="K42" s="546"/>
      <c r="L42" s="546"/>
      <c r="M42" s="546"/>
      <c r="N42" s="546"/>
      <c r="O42" s="546"/>
      <c r="P42" s="546"/>
      <c r="Q42" s="546"/>
      <c r="R42" s="546"/>
      <c r="S42" s="546"/>
      <c r="T42" s="546"/>
      <c r="U42" s="546"/>
      <c r="V42" s="546"/>
      <c r="W42" s="546"/>
      <c r="X42" s="546"/>
      <c r="Y42" s="546"/>
      <c r="Z42" s="546"/>
      <c r="AA42" s="546"/>
      <c r="AB42" s="546"/>
      <c r="AC42" s="546"/>
      <c r="AD42" s="546"/>
      <c r="AE42" s="546"/>
      <c r="AF42" s="546"/>
      <c r="AG42" s="546"/>
      <c r="AH42" s="546"/>
      <c r="AI42" s="546"/>
      <c r="AJ42" s="546"/>
      <c r="AK42" s="546"/>
      <c r="AL42" s="546"/>
      <c r="AM42" s="546"/>
      <c r="AN42" s="546"/>
      <c r="AO42" s="546"/>
      <c r="AP42" s="546"/>
      <c r="AQ42" s="546"/>
      <c r="AR42" s="546"/>
      <c r="AS42" s="546"/>
      <c r="AT42" s="546"/>
      <c r="AU42" s="546"/>
      <c r="AV42" s="546"/>
      <c r="AW42" s="546"/>
      <c r="AX42" s="546"/>
      <c r="AY42" s="546"/>
      <c r="AZ42" s="546"/>
    </row>
    <row r="43" spans="1:52">
      <c r="A43" s="546"/>
      <c r="B43" s="546"/>
      <c r="C43" s="546"/>
      <c r="D43" s="546"/>
      <c r="E43" s="546"/>
      <c r="F43" s="546"/>
      <c r="G43" s="546"/>
      <c r="H43" s="546"/>
      <c r="I43" s="546"/>
      <c r="J43" s="546"/>
      <c r="K43" s="546"/>
      <c r="L43" s="546"/>
      <c r="M43" s="546"/>
      <c r="N43" s="546"/>
      <c r="O43" s="546"/>
      <c r="P43" s="546"/>
      <c r="Q43" s="546"/>
      <c r="R43" s="546"/>
      <c r="S43" s="546"/>
      <c r="T43" s="546"/>
      <c r="U43" s="546"/>
      <c r="V43" s="546"/>
      <c r="W43" s="546"/>
      <c r="X43" s="546"/>
      <c r="Y43" s="546"/>
      <c r="Z43" s="546"/>
      <c r="AA43" s="546"/>
      <c r="AB43" s="546"/>
      <c r="AC43" s="546"/>
      <c r="AD43" s="546"/>
      <c r="AE43" s="546"/>
      <c r="AF43" s="546"/>
      <c r="AG43" s="546"/>
      <c r="AH43" s="546"/>
      <c r="AI43" s="546"/>
      <c r="AJ43" s="546"/>
      <c r="AK43" s="546"/>
      <c r="AL43" s="546"/>
      <c r="AM43" s="546"/>
      <c r="AN43" s="546"/>
      <c r="AO43" s="546"/>
      <c r="AP43" s="546"/>
      <c r="AQ43" s="546"/>
      <c r="AR43" s="546"/>
      <c r="AS43" s="546"/>
      <c r="AT43" s="546"/>
      <c r="AU43" s="546"/>
      <c r="AV43" s="546"/>
      <c r="AW43" s="546"/>
      <c r="AX43" s="546"/>
      <c r="AY43" s="546"/>
      <c r="AZ43" s="546"/>
    </row>
    <row r="44" spans="1:52">
      <c r="A44" s="546"/>
      <c r="B44" s="546"/>
      <c r="C44" s="546"/>
      <c r="D44" s="546"/>
      <c r="E44" s="546"/>
      <c r="F44" s="546"/>
      <c r="G44" s="546"/>
      <c r="H44" s="546"/>
      <c r="I44" s="546"/>
      <c r="J44" s="546"/>
      <c r="K44" s="546"/>
      <c r="L44" s="546" t="s">
        <v>3</v>
      </c>
      <c r="M44" s="546"/>
      <c r="N44" s="546"/>
      <c r="O44" s="546"/>
      <c r="P44" s="546"/>
      <c r="Q44" s="546"/>
      <c r="R44" s="546"/>
      <c r="S44" s="546"/>
      <c r="T44" s="546"/>
      <c r="U44" s="546"/>
      <c r="V44" s="546"/>
      <c r="W44" s="546"/>
      <c r="X44" s="546"/>
      <c r="Y44" s="546"/>
      <c r="Z44" s="546"/>
      <c r="AA44" s="546"/>
      <c r="AB44" s="546"/>
      <c r="AC44" s="546"/>
      <c r="AD44" s="546"/>
      <c r="AE44" s="546"/>
      <c r="AF44" s="546"/>
      <c r="AG44" s="546"/>
      <c r="AH44" s="546"/>
      <c r="AI44" s="546"/>
      <c r="AJ44" s="546"/>
      <c r="AK44" s="546"/>
      <c r="AL44" s="546"/>
      <c r="AM44" s="546"/>
      <c r="AN44" s="546"/>
      <c r="AO44" s="546"/>
      <c r="AP44" s="546"/>
      <c r="AQ44" s="546"/>
      <c r="AR44" s="546"/>
      <c r="AS44" s="546"/>
      <c r="AT44" s="546"/>
      <c r="AU44" s="546"/>
      <c r="AV44" s="546"/>
      <c r="AW44" s="546"/>
      <c r="AX44" s="546"/>
      <c r="AY44" s="546"/>
      <c r="AZ44" s="546"/>
    </row>
    <row r="45" spans="1:52">
      <c r="A45" s="546"/>
      <c r="B45" s="546"/>
      <c r="C45" s="546"/>
      <c r="D45" s="546"/>
      <c r="E45" s="546"/>
      <c r="F45" s="546"/>
      <c r="G45" s="546"/>
      <c r="H45" s="546"/>
      <c r="I45" s="546"/>
      <c r="J45" s="546"/>
      <c r="K45" s="546"/>
      <c r="L45" s="546"/>
      <c r="M45" s="546"/>
      <c r="N45" s="546"/>
      <c r="O45" s="546"/>
      <c r="P45" s="546"/>
      <c r="Q45" s="546"/>
      <c r="R45" s="546"/>
      <c r="S45" s="546"/>
      <c r="T45" s="546"/>
      <c r="U45" s="546"/>
      <c r="V45" s="546"/>
      <c r="W45" s="546"/>
      <c r="X45" s="546"/>
      <c r="Y45" s="546"/>
      <c r="Z45" s="546"/>
      <c r="AA45" s="546"/>
      <c r="AB45" s="546"/>
      <c r="AC45" s="546"/>
      <c r="AD45" s="546"/>
      <c r="AE45" s="546"/>
      <c r="AF45" s="546"/>
      <c r="AG45" s="546"/>
      <c r="AH45" s="546"/>
      <c r="AI45" s="546"/>
      <c r="AJ45" s="546"/>
      <c r="AK45" s="546"/>
      <c r="AL45" s="546"/>
      <c r="AM45" s="546"/>
      <c r="AN45" s="546"/>
      <c r="AO45" s="546"/>
      <c r="AP45" s="546"/>
      <c r="AQ45" s="546"/>
      <c r="AR45" s="546"/>
      <c r="AS45" s="546"/>
      <c r="AT45" s="546"/>
      <c r="AU45" s="546"/>
      <c r="AV45" s="546"/>
      <c r="AW45" s="546"/>
      <c r="AX45" s="546"/>
      <c r="AY45" s="546"/>
      <c r="AZ45" s="546"/>
    </row>
    <row r="46" spans="1:52">
      <c r="A46" s="546"/>
      <c r="B46" s="546"/>
      <c r="C46" s="546"/>
      <c r="D46" s="546"/>
      <c r="E46" s="546"/>
      <c r="F46" s="546"/>
      <c r="G46" s="546"/>
      <c r="H46" s="546"/>
      <c r="I46" s="546"/>
      <c r="J46" s="546"/>
      <c r="K46" s="546"/>
      <c r="L46" s="546"/>
      <c r="M46" s="546"/>
      <c r="N46" s="546"/>
      <c r="O46" s="546"/>
      <c r="P46" s="546"/>
      <c r="Q46" s="546"/>
      <c r="R46" s="546"/>
      <c r="S46" s="546"/>
      <c r="T46" s="546"/>
      <c r="U46" s="546"/>
      <c r="V46" s="546"/>
      <c r="W46" s="546"/>
      <c r="X46" s="546"/>
      <c r="Y46" s="546"/>
      <c r="Z46" s="546"/>
      <c r="AA46" s="546"/>
      <c r="AB46" s="546"/>
      <c r="AC46" s="546"/>
      <c r="AD46" s="546"/>
      <c r="AE46" s="546"/>
      <c r="AF46" s="546"/>
      <c r="AG46" s="546"/>
      <c r="AH46" s="546"/>
      <c r="AI46" s="546"/>
      <c r="AJ46" s="546"/>
      <c r="AK46" s="546"/>
      <c r="AL46" s="546"/>
      <c r="AM46" s="546"/>
      <c r="AN46" s="546"/>
      <c r="AO46" s="546"/>
      <c r="AP46" s="546"/>
      <c r="AQ46" s="546"/>
      <c r="AR46" s="546"/>
      <c r="AS46" s="546"/>
      <c r="AT46" s="546"/>
      <c r="AU46" s="546"/>
      <c r="AV46" s="546"/>
      <c r="AW46" s="546"/>
      <c r="AX46" s="546"/>
      <c r="AY46" s="546"/>
      <c r="AZ46" s="546"/>
    </row>
    <row r="47" spans="1:52">
      <c r="A47" s="546"/>
      <c r="B47" s="546"/>
      <c r="C47" s="546"/>
      <c r="D47" s="546"/>
      <c r="E47" s="546"/>
      <c r="F47" s="546"/>
      <c r="G47" s="546"/>
      <c r="H47" s="546"/>
      <c r="I47" s="546"/>
      <c r="J47" s="546"/>
      <c r="K47" s="546"/>
      <c r="L47" s="546"/>
      <c r="M47" s="546"/>
      <c r="N47" s="546"/>
      <c r="O47" s="546"/>
      <c r="P47" s="546"/>
      <c r="Q47" s="546"/>
      <c r="R47" s="546"/>
      <c r="S47" s="546"/>
      <c r="T47" s="546"/>
      <c r="U47" s="546"/>
      <c r="V47" s="546"/>
      <c r="W47" s="546"/>
      <c r="X47" s="546"/>
      <c r="Y47" s="546"/>
      <c r="Z47" s="546"/>
      <c r="AA47" s="546"/>
      <c r="AB47" s="546"/>
      <c r="AC47" s="546"/>
      <c r="AD47" s="546"/>
      <c r="AE47" s="546"/>
      <c r="AF47" s="546"/>
      <c r="AG47" s="546"/>
      <c r="AH47" s="546"/>
      <c r="AI47" s="546"/>
      <c r="AJ47" s="546"/>
      <c r="AK47" s="546"/>
      <c r="AL47" s="546"/>
      <c r="AM47" s="546"/>
      <c r="AN47" s="546"/>
      <c r="AO47" s="546"/>
      <c r="AP47" s="546"/>
      <c r="AQ47" s="546"/>
      <c r="AR47" s="546"/>
      <c r="AS47" s="546"/>
      <c r="AT47" s="546"/>
      <c r="AU47" s="546"/>
      <c r="AV47" s="546"/>
      <c r="AW47" s="546"/>
      <c r="AX47" s="546"/>
      <c r="AY47" s="546"/>
      <c r="AZ47" s="546"/>
    </row>
    <row r="48" spans="1:52">
      <c r="A48" s="546"/>
      <c r="B48" s="546"/>
      <c r="C48" s="546"/>
      <c r="D48" s="546"/>
      <c r="E48" s="546"/>
      <c r="F48" s="546"/>
      <c r="G48" s="546"/>
      <c r="H48" s="546"/>
      <c r="I48" s="546"/>
      <c r="J48" s="546"/>
      <c r="K48" s="546"/>
      <c r="L48" s="546"/>
      <c r="M48" s="546"/>
      <c r="N48" s="546"/>
      <c r="O48" s="546"/>
      <c r="P48" s="546"/>
      <c r="Q48" s="546"/>
      <c r="R48" s="546"/>
      <c r="S48" s="546"/>
      <c r="T48" s="546"/>
      <c r="U48" s="546"/>
      <c r="V48" s="546"/>
      <c r="W48" s="546"/>
      <c r="X48" s="546"/>
      <c r="Y48" s="546"/>
      <c r="Z48" s="546"/>
      <c r="AA48" s="546"/>
      <c r="AB48" s="546"/>
      <c r="AC48" s="546"/>
      <c r="AD48" s="546"/>
      <c r="AE48" s="546"/>
      <c r="AF48" s="546"/>
      <c r="AG48" s="546"/>
      <c r="AH48" s="546"/>
      <c r="AI48" s="546"/>
      <c r="AJ48" s="546"/>
      <c r="AK48" s="546"/>
      <c r="AL48" s="546"/>
      <c r="AM48" s="546"/>
      <c r="AN48" s="546"/>
      <c r="AO48" s="546"/>
      <c r="AP48" s="546"/>
      <c r="AQ48" s="546"/>
      <c r="AR48" s="546"/>
      <c r="AS48" s="546"/>
      <c r="AT48" s="546"/>
      <c r="AU48" s="546"/>
      <c r="AV48" s="546"/>
      <c r="AW48" s="546"/>
      <c r="AX48" s="546"/>
      <c r="AY48" s="546"/>
      <c r="AZ48" s="546"/>
    </row>
    <row r="49" spans="1:52">
      <c r="A49" s="546"/>
      <c r="B49" s="546"/>
      <c r="C49" s="546"/>
      <c r="D49" s="546"/>
      <c r="E49" s="546"/>
      <c r="F49" s="546"/>
      <c r="G49" s="546"/>
      <c r="H49" s="546"/>
      <c r="I49" s="546"/>
      <c r="J49" s="546"/>
      <c r="K49" s="546"/>
      <c r="L49" s="546"/>
      <c r="M49" s="546"/>
      <c r="N49" s="546"/>
      <c r="O49" s="546"/>
      <c r="P49" s="546"/>
      <c r="Q49" s="546"/>
      <c r="R49" s="546"/>
      <c r="S49" s="546"/>
      <c r="T49" s="546"/>
      <c r="U49" s="546"/>
      <c r="V49" s="546"/>
      <c r="W49" s="546"/>
      <c r="X49" s="546"/>
      <c r="Y49" s="546"/>
      <c r="Z49" s="546"/>
      <c r="AA49" s="546"/>
      <c r="AB49" s="546"/>
      <c r="AC49" s="546"/>
      <c r="AD49" s="546"/>
      <c r="AE49" s="546"/>
      <c r="AF49" s="546"/>
      <c r="AG49" s="546"/>
      <c r="AH49" s="546"/>
      <c r="AI49" s="546"/>
      <c r="AJ49" s="546"/>
      <c r="AK49" s="546"/>
      <c r="AL49" s="546"/>
      <c r="AM49" s="546"/>
      <c r="AN49" s="546"/>
      <c r="AO49" s="546"/>
      <c r="AP49" s="546"/>
      <c r="AQ49" s="546"/>
      <c r="AR49" s="546"/>
      <c r="AS49" s="546"/>
      <c r="AT49" s="546"/>
      <c r="AU49" s="546"/>
      <c r="AV49" s="546"/>
      <c r="AW49" s="546"/>
      <c r="AX49" s="546"/>
      <c r="AY49" s="546"/>
      <c r="AZ49" s="546"/>
    </row>
    <row r="50" spans="1:52">
      <c r="A50" s="546"/>
      <c r="B50" s="546"/>
      <c r="C50" s="546"/>
      <c r="D50" s="546"/>
      <c r="E50" s="546"/>
      <c r="F50" s="546"/>
      <c r="G50" s="546"/>
      <c r="H50" s="546"/>
      <c r="I50" s="546"/>
      <c r="J50" s="546"/>
      <c r="K50" s="546"/>
      <c r="L50" s="546"/>
      <c r="M50" s="546"/>
      <c r="N50" s="546"/>
      <c r="O50" s="546"/>
      <c r="P50" s="546"/>
      <c r="Q50" s="546"/>
      <c r="R50" s="546"/>
      <c r="S50" s="546"/>
      <c r="T50" s="546"/>
      <c r="U50" s="546"/>
      <c r="V50" s="546"/>
      <c r="W50" s="546"/>
      <c r="X50" s="546"/>
      <c r="Y50" s="546"/>
      <c r="Z50" s="546"/>
      <c r="AA50" s="546"/>
      <c r="AB50" s="546"/>
      <c r="AC50" s="546"/>
      <c r="AD50" s="546"/>
      <c r="AE50" s="546"/>
      <c r="AF50" s="546"/>
      <c r="AG50" s="546"/>
      <c r="AH50" s="546"/>
      <c r="AI50" s="546"/>
      <c r="AJ50" s="546"/>
      <c r="AK50" s="546"/>
      <c r="AL50" s="546"/>
      <c r="AM50" s="546"/>
      <c r="AN50" s="546"/>
      <c r="AO50" s="546"/>
      <c r="AP50" s="546"/>
      <c r="AQ50" s="546"/>
      <c r="AR50" s="546"/>
      <c r="AS50" s="546"/>
      <c r="AT50" s="546"/>
      <c r="AU50" s="546"/>
      <c r="AV50" s="546"/>
      <c r="AW50" s="546"/>
      <c r="AX50" s="546"/>
      <c r="AY50" s="546"/>
      <c r="AZ50" s="546"/>
    </row>
    <row r="51" spans="1:52">
      <c r="A51" s="546"/>
      <c r="B51" s="546"/>
      <c r="C51" s="546"/>
      <c r="D51" s="546"/>
      <c r="E51" s="546"/>
      <c r="F51" s="546"/>
      <c r="G51" s="546"/>
      <c r="H51" s="546"/>
      <c r="I51" s="546"/>
      <c r="J51" s="546"/>
      <c r="K51" s="546"/>
      <c r="L51" s="546"/>
      <c r="M51" s="546"/>
      <c r="N51" s="546"/>
      <c r="O51" s="546"/>
      <c r="P51" s="546"/>
      <c r="Q51" s="546"/>
      <c r="R51" s="546"/>
      <c r="S51" s="546"/>
      <c r="T51" s="546"/>
      <c r="U51" s="546"/>
      <c r="V51" s="546"/>
      <c r="W51" s="546"/>
      <c r="X51" s="546"/>
      <c r="Y51" s="546"/>
      <c r="Z51" s="546"/>
      <c r="AA51" s="546"/>
      <c r="AB51" s="546"/>
      <c r="AC51" s="546"/>
      <c r="AD51" s="546"/>
      <c r="AE51" s="546"/>
      <c r="AF51" s="546"/>
      <c r="AG51" s="546"/>
      <c r="AH51" s="546"/>
      <c r="AI51" s="546"/>
      <c r="AJ51" s="546"/>
      <c r="AK51" s="546"/>
      <c r="AL51" s="546"/>
      <c r="AM51" s="546"/>
      <c r="AN51" s="546"/>
      <c r="AO51" s="546"/>
      <c r="AP51" s="546"/>
      <c r="AQ51" s="546"/>
      <c r="AR51" s="546"/>
      <c r="AS51" s="546"/>
      <c r="AT51" s="546"/>
      <c r="AU51" s="546"/>
      <c r="AV51" s="546"/>
      <c r="AW51" s="546"/>
      <c r="AX51" s="546"/>
      <c r="AY51" s="546"/>
      <c r="AZ51" s="546"/>
    </row>
  </sheetData>
  <mergeCells count="3">
    <mergeCell ref="C2:D2"/>
    <mergeCell ref="F2:H2"/>
    <mergeCell ref="C3:R3"/>
  </mergeCell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 id="{DBE6183A-E1A5-4C4E-AEDC-26E930B067AF}">
            <xm:f>$L7='3-Link Scenario Planner'!$E$33</xm:f>
            <x14:dxf>
              <fill>
                <patternFill>
                  <bgColor rgb="FFFFFF00"/>
                </patternFill>
              </fill>
            </x14:dxf>
          </x14:cfRule>
          <xm:sqref>B7:R34</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5" tint="0.39997558519241921"/>
  </sheetPr>
  <dimension ref="A1:AZ101"/>
  <sheetViews>
    <sheetView zoomScaleNormal="100" workbookViewId="0"/>
  </sheetViews>
  <sheetFormatPr baseColWidth="10" defaultColWidth="8.83203125" defaultRowHeight="13"/>
  <cols>
    <col min="1" max="1" width="11" customWidth="1"/>
    <col min="2" max="2" width="11.1640625" customWidth="1"/>
    <col min="3" max="3" width="16" customWidth="1"/>
    <col min="4" max="4" width="12.83203125" customWidth="1"/>
    <col min="6" max="6" width="11.1640625" customWidth="1"/>
    <col min="10" max="11" width="10" customWidth="1"/>
    <col min="12" max="12" width="12.1640625" customWidth="1"/>
    <col min="16" max="16" width="10.33203125" customWidth="1"/>
    <col min="18" max="18" width="15.33203125" customWidth="1"/>
  </cols>
  <sheetData>
    <row r="1" spans="1:52" ht="19" thickBot="1">
      <c r="A1" s="926" t="s">
        <v>651</v>
      </c>
      <c r="B1" s="600" t="s">
        <v>582</v>
      </c>
      <c r="C1" s="599"/>
      <c r="D1" s="599"/>
      <c r="E1" s="599"/>
      <c r="F1" s="599"/>
      <c r="G1" s="599"/>
      <c r="H1" s="599"/>
      <c r="I1" s="599"/>
      <c r="J1" s="599"/>
      <c r="K1" s="599"/>
      <c r="L1" s="599"/>
      <c r="M1" s="599"/>
      <c r="N1" s="599"/>
      <c r="O1" s="599"/>
      <c r="P1" s="599"/>
      <c r="Q1" s="599"/>
      <c r="R1" s="599"/>
      <c r="S1" s="599"/>
      <c r="T1" s="599"/>
      <c r="U1" s="599"/>
      <c r="V1" s="599"/>
      <c r="W1" s="599"/>
      <c r="X1" s="599"/>
      <c r="Y1" s="599"/>
      <c r="Z1" s="599"/>
      <c r="AA1" s="599"/>
      <c r="AB1" s="599"/>
      <c r="AC1" s="599"/>
      <c r="AD1" s="599"/>
      <c r="AE1" s="599"/>
      <c r="AF1" s="599"/>
      <c r="AG1" s="599"/>
      <c r="AH1" s="599"/>
      <c r="AI1" s="599"/>
      <c r="AJ1" s="599"/>
      <c r="AK1" s="599"/>
      <c r="AL1" s="599"/>
      <c r="AM1" s="599"/>
      <c r="AN1" s="599"/>
      <c r="AO1" s="599"/>
      <c r="AP1" s="599"/>
      <c r="AQ1" s="599"/>
      <c r="AR1" s="599"/>
      <c r="AS1" s="599"/>
      <c r="AT1" s="599"/>
      <c r="AU1" s="599"/>
      <c r="AV1" s="599"/>
      <c r="AW1" s="599"/>
      <c r="AX1" s="599"/>
      <c r="AY1" s="599"/>
      <c r="AZ1" s="599"/>
    </row>
    <row r="2" spans="1:52" ht="45.75" customHeight="1" thickBot="1">
      <c r="A2" s="551" t="s">
        <v>3</v>
      </c>
      <c r="B2" s="559" t="s">
        <v>593</v>
      </c>
      <c r="C2" s="1030" t="s">
        <v>343</v>
      </c>
      <c r="D2" s="1024"/>
      <c r="E2" s="866">
        <f>'3-Link Scenario Planner'!E11</f>
        <v>1</v>
      </c>
      <c r="F2" s="1026" t="s">
        <v>230</v>
      </c>
      <c r="G2" s="1026"/>
      <c r="H2" s="1026"/>
      <c r="I2" s="841">
        <v>0.1</v>
      </c>
      <c r="J2" s="530"/>
      <c r="K2" s="543" t="s">
        <v>3</v>
      </c>
      <c r="L2" s="530" t="s">
        <v>3</v>
      </c>
      <c r="M2" s="530" t="s">
        <v>3</v>
      </c>
      <c r="N2" s="530" t="s">
        <v>3</v>
      </c>
      <c r="O2" s="530" t="s">
        <v>3</v>
      </c>
      <c r="P2" s="530" t="s">
        <v>3</v>
      </c>
      <c r="Q2" s="530" t="s">
        <v>3</v>
      </c>
      <c r="R2" s="544" t="s">
        <v>3</v>
      </c>
      <c r="S2" s="545"/>
      <c r="T2" s="545"/>
      <c r="U2" s="545"/>
      <c r="V2" s="545"/>
      <c r="W2" s="545"/>
      <c r="X2" s="545"/>
      <c r="Y2" s="545"/>
      <c r="Z2" s="545"/>
      <c r="AA2" s="546"/>
      <c r="AB2" s="546"/>
      <c r="AC2" s="546"/>
      <c r="AD2" s="546"/>
      <c r="AE2" s="546"/>
      <c r="AF2" s="546"/>
      <c r="AG2" s="546"/>
      <c r="AH2" s="546"/>
      <c r="AI2" s="546"/>
      <c r="AJ2" s="546"/>
      <c r="AK2" s="546"/>
      <c r="AL2" s="546"/>
      <c r="AM2" s="546"/>
      <c r="AN2" s="546"/>
      <c r="AO2" s="546"/>
      <c r="AP2" s="546"/>
      <c r="AQ2" s="546"/>
      <c r="AR2" s="546"/>
      <c r="AS2" s="546"/>
      <c r="AT2" s="546"/>
      <c r="AU2" s="546"/>
      <c r="AV2" s="546"/>
      <c r="AW2" s="546"/>
      <c r="AX2" s="546"/>
      <c r="AY2" s="546"/>
      <c r="AZ2" s="546"/>
    </row>
    <row r="3" spans="1:52" ht="18">
      <c r="A3" s="546"/>
      <c r="B3" s="542"/>
      <c r="C3" s="1031" t="s">
        <v>538</v>
      </c>
      <c r="D3" s="1031"/>
      <c r="E3" s="1032"/>
      <c r="F3" s="1031"/>
      <c r="G3" s="1031"/>
      <c r="H3" s="1031"/>
      <c r="I3" s="1032"/>
      <c r="J3" s="1031"/>
      <c r="K3" s="1031"/>
      <c r="L3" s="1031"/>
      <c r="M3" s="1031"/>
      <c r="N3" s="1031"/>
      <c r="O3" s="1031"/>
      <c r="P3" s="1031"/>
      <c r="Q3" s="1031"/>
      <c r="R3" s="1033"/>
      <c r="S3" s="547"/>
      <c r="T3" s="547"/>
      <c r="U3" s="547"/>
      <c r="V3" s="547"/>
      <c r="W3" s="547"/>
      <c r="X3" s="547"/>
      <c r="Y3" s="547"/>
      <c r="Z3" s="547"/>
      <c r="AA3" s="547"/>
      <c r="AB3" s="546"/>
      <c r="AC3" s="546"/>
      <c r="AD3" s="546"/>
      <c r="AE3" s="546"/>
      <c r="AF3" s="546"/>
      <c r="AG3" s="546"/>
      <c r="AH3" s="546"/>
      <c r="AI3" s="546"/>
      <c r="AJ3" s="546"/>
      <c r="AK3" s="546"/>
      <c r="AL3" s="546"/>
      <c r="AM3" s="546"/>
      <c r="AN3" s="546"/>
      <c r="AO3" s="546"/>
      <c r="AP3" s="546"/>
      <c r="AQ3" s="546"/>
      <c r="AR3" s="546"/>
      <c r="AS3" s="546"/>
      <c r="AT3" s="546"/>
      <c r="AU3" s="546"/>
      <c r="AV3" s="546"/>
      <c r="AW3" s="546"/>
      <c r="AX3" s="546"/>
      <c r="AY3" s="546"/>
      <c r="AZ3" s="546"/>
    </row>
    <row r="4" spans="1:52" ht="34">
      <c r="A4" s="546"/>
      <c r="B4" s="514" t="s">
        <v>537</v>
      </c>
      <c r="C4" s="270" t="s">
        <v>231</v>
      </c>
      <c r="D4" s="270" t="s">
        <v>232</v>
      </c>
      <c r="E4" s="270" t="s">
        <v>233</v>
      </c>
      <c r="F4" s="270" t="s">
        <v>234</v>
      </c>
      <c r="G4" s="270" t="s">
        <v>235</v>
      </c>
      <c r="H4" s="270" t="s">
        <v>236</v>
      </c>
      <c r="I4" s="270" t="s">
        <v>237</v>
      </c>
      <c r="J4" s="327" t="s">
        <v>321</v>
      </c>
      <c r="K4" s="270" t="s">
        <v>320</v>
      </c>
      <c r="L4" s="271" t="s">
        <v>238</v>
      </c>
      <c r="M4" s="270" t="s">
        <v>239</v>
      </c>
      <c r="N4" s="270" t="s">
        <v>240</v>
      </c>
      <c r="O4" s="270" t="s">
        <v>241</v>
      </c>
      <c r="P4" s="270" t="s">
        <v>242</v>
      </c>
      <c r="Q4" s="270" t="s">
        <v>243</v>
      </c>
      <c r="R4" s="272" t="s">
        <v>244</v>
      </c>
      <c r="S4" s="547"/>
      <c r="T4" s="547"/>
      <c r="U4" s="547"/>
      <c r="V4" s="547"/>
      <c r="W4" s="547"/>
      <c r="X4" s="547"/>
      <c r="Y4" s="547"/>
      <c r="Z4" s="547"/>
      <c r="AA4" s="547"/>
      <c r="AB4" s="546"/>
      <c r="AC4" s="546"/>
      <c r="AD4" s="546"/>
      <c r="AE4" s="546"/>
      <c r="AF4" s="546"/>
      <c r="AG4" s="546"/>
      <c r="AH4" s="546"/>
      <c r="AI4" s="546"/>
      <c r="AJ4" s="546"/>
      <c r="AK4" s="546"/>
      <c r="AL4" s="546"/>
      <c r="AM4" s="546"/>
      <c r="AN4" s="546"/>
      <c r="AO4" s="546"/>
      <c r="AP4" s="546"/>
      <c r="AQ4" s="546"/>
      <c r="AR4" s="546"/>
      <c r="AS4" s="546"/>
      <c r="AT4" s="546"/>
      <c r="AU4" s="546"/>
      <c r="AV4" s="546"/>
      <c r="AW4" s="546"/>
      <c r="AX4" s="546"/>
      <c r="AY4" s="546"/>
      <c r="AZ4" s="546"/>
    </row>
    <row r="5" spans="1:52" ht="28">
      <c r="A5" s="551" t="s">
        <v>3</v>
      </c>
      <c r="B5" s="515" t="s">
        <v>3</v>
      </c>
      <c r="C5" s="513" t="s">
        <v>519</v>
      </c>
      <c r="D5" s="273"/>
      <c r="E5" s="273" t="s">
        <v>31</v>
      </c>
      <c r="F5" s="273" t="s">
        <v>245</v>
      </c>
      <c r="G5" s="273" t="s">
        <v>28</v>
      </c>
      <c r="H5" s="273" t="s">
        <v>57</v>
      </c>
      <c r="I5" s="273" t="s">
        <v>31</v>
      </c>
      <c r="J5" s="274" t="s">
        <v>246</v>
      </c>
      <c r="K5" s="273" t="s">
        <v>3</v>
      </c>
      <c r="L5" s="275" t="s">
        <v>179</v>
      </c>
      <c r="M5" s="273" t="s">
        <v>31</v>
      </c>
      <c r="N5" s="273" t="s">
        <v>31</v>
      </c>
      <c r="O5" s="273" t="s">
        <v>247</v>
      </c>
      <c r="P5" s="273" t="s">
        <v>247</v>
      </c>
      <c r="Q5" s="273" t="s">
        <v>248</v>
      </c>
      <c r="R5" s="276" t="s">
        <v>3</v>
      </c>
      <c r="S5" s="547" t="s">
        <v>3</v>
      </c>
      <c r="T5" s="547"/>
      <c r="U5" s="547"/>
      <c r="V5" s="547"/>
      <c r="W5" s="547"/>
      <c r="X5" s="547"/>
      <c r="Y5" s="547"/>
      <c r="Z5" s="547"/>
      <c r="AA5" s="547"/>
      <c r="AB5" s="546"/>
      <c r="AC5" s="546"/>
      <c r="AD5" s="546"/>
      <c r="AE5" s="546"/>
      <c r="AF5" s="546"/>
      <c r="AG5" s="546"/>
      <c r="AH5" s="546"/>
      <c r="AI5" s="546"/>
      <c r="AJ5" s="546"/>
      <c r="AK5" s="546"/>
      <c r="AL5" s="546"/>
      <c r="AM5" s="546"/>
      <c r="AN5" s="546"/>
      <c r="AO5" s="546"/>
      <c r="AP5" s="546"/>
      <c r="AQ5" s="546"/>
      <c r="AR5" s="546"/>
      <c r="AS5" s="546"/>
      <c r="AT5" s="546"/>
      <c r="AU5" s="546"/>
      <c r="AV5" s="546"/>
      <c r="AW5" s="546"/>
      <c r="AX5" s="546"/>
      <c r="AY5" s="546"/>
      <c r="AZ5" s="546"/>
    </row>
    <row r="6" spans="1:52" ht="14">
      <c r="A6" s="552"/>
      <c r="B6" s="540" t="s">
        <v>520</v>
      </c>
      <c r="C6" s="525" t="s">
        <v>249</v>
      </c>
      <c r="D6" s="526">
        <v>0.22222222222222221</v>
      </c>
      <c r="E6" s="525">
        <v>-2.57</v>
      </c>
      <c r="F6" s="531">
        <f>G6/(1+$I$2)</f>
        <v>0.90909090909090906</v>
      </c>
      <c r="G6" s="531">
        <f>$E$2</f>
        <v>1</v>
      </c>
      <c r="H6" s="528">
        <f t="shared" ref="H6:H63" si="0">E6+10*LOG(F6*10^6)</f>
        <v>57.016073148417746</v>
      </c>
      <c r="I6" s="529">
        <f t="shared" ref="I6:I63" si="1">H6-10*LOG(G6*10^6)</f>
        <v>-2.9839268515822539</v>
      </c>
      <c r="J6" s="530">
        <v>0.43484099999999998</v>
      </c>
      <c r="K6" s="525">
        <v>2</v>
      </c>
      <c r="L6" s="531">
        <f t="shared" ref="L6:L63" si="2">F6*J6</f>
        <v>0.39530999999999994</v>
      </c>
      <c r="M6" s="527">
        <f t="shared" ref="M6:M63" si="3">E6-10*LOG(J6)</f>
        <v>1.0466951418489669</v>
      </c>
      <c r="N6" s="527">
        <f t="shared" ref="N6:N63" si="4">H6-10*LOG(O6*10^6)</f>
        <v>-5.5802999566398128</v>
      </c>
      <c r="O6" s="527">
        <f t="shared" ref="O6:O63" si="5">F6*K6</f>
        <v>1.8181818181818181</v>
      </c>
      <c r="P6" s="532">
        <f>O6*D6</f>
        <v>0.40404040404040398</v>
      </c>
      <c r="Q6" s="527">
        <f>O6*(1-D6)</f>
        <v>1.4141414141414141</v>
      </c>
      <c r="R6" s="533">
        <f t="shared" ref="R6:R63" si="6">(P6-L6)/P6</f>
        <v>2.1607749999999998E-2</v>
      </c>
      <c r="S6" s="547"/>
      <c r="T6" s="547"/>
      <c r="U6" s="547"/>
      <c r="V6" s="547"/>
      <c r="W6" s="547"/>
      <c r="X6" s="547"/>
      <c r="Y6" s="547"/>
      <c r="Z6" s="547"/>
      <c r="AA6" s="547"/>
      <c r="AB6" s="546"/>
      <c r="AC6" s="546"/>
      <c r="AD6" s="546"/>
      <c r="AE6" s="546"/>
      <c r="AF6" s="546"/>
      <c r="AG6" s="546"/>
      <c r="AH6" s="546"/>
      <c r="AI6" s="546"/>
      <c r="AJ6" s="546"/>
      <c r="AK6" s="546"/>
      <c r="AL6" s="546"/>
      <c r="AM6" s="546"/>
      <c r="AN6" s="546"/>
      <c r="AO6" s="546"/>
      <c r="AP6" s="546"/>
      <c r="AQ6" s="546"/>
      <c r="AR6" s="546"/>
      <c r="AS6" s="546"/>
      <c r="AT6" s="546"/>
      <c r="AU6" s="546"/>
      <c r="AV6" s="546"/>
      <c r="AW6" s="546"/>
      <c r="AX6" s="546"/>
      <c r="AY6" s="546"/>
      <c r="AZ6" s="546"/>
    </row>
    <row r="7" spans="1:52" ht="14">
      <c r="A7" s="552"/>
      <c r="B7" s="541" t="s">
        <v>521</v>
      </c>
      <c r="C7" s="519" t="s">
        <v>249</v>
      </c>
      <c r="D7" s="520">
        <v>0.25</v>
      </c>
      <c r="E7" s="519">
        <v>-2.35</v>
      </c>
      <c r="F7" s="522">
        <f>G7/(1+$I$2)</f>
        <v>0.90909090909090906</v>
      </c>
      <c r="G7" s="522">
        <f t="shared" ref="G7:G72" si="7">$E$2</f>
        <v>1</v>
      </c>
      <c r="H7" s="350">
        <f t="shared" si="0"/>
        <v>57.236073148417745</v>
      </c>
      <c r="I7" s="277">
        <f t="shared" si="1"/>
        <v>-2.763926851582255</v>
      </c>
      <c r="J7" s="517">
        <v>0.49024299999999998</v>
      </c>
      <c r="K7" s="519">
        <v>2</v>
      </c>
      <c r="L7" s="522">
        <f t="shared" si="2"/>
        <v>0.44567545454545454</v>
      </c>
      <c r="M7" s="516">
        <f t="shared" si="3"/>
        <v>0.74588598747536183</v>
      </c>
      <c r="N7" s="516">
        <f t="shared" si="4"/>
        <v>-5.360299956639814</v>
      </c>
      <c r="O7" s="516">
        <f t="shared" si="5"/>
        <v>1.8181818181818181</v>
      </c>
      <c r="P7" s="516">
        <f t="shared" ref="P7:P63" si="8">O7*D7</f>
        <v>0.45454545454545453</v>
      </c>
      <c r="Q7" s="516">
        <f t="shared" ref="Q7:Q63" si="9">O7*(1-D7)</f>
        <v>1.3636363636363635</v>
      </c>
      <c r="R7" s="523">
        <f t="shared" si="6"/>
        <v>1.9513999999999976E-2</v>
      </c>
      <c r="S7" s="547"/>
      <c r="T7" s="547"/>
      <c r="U7" s="547"/>
      <c r="V7" s="547"/>
      <c r="W7" s="547"/>
      <c r="X7" s="547"/>
      <c r="Y7" s="547"/>
      <c r="Z7" s="547"/>
      <c r="AA7" s="547"/>
      <c r="AB7" s="546"/>
      <c r="AC7" s="546"/>
      <c r="AD7" s="546"/>
      <c r="AE7" s="546"/>
      <c r="AF7" s="546"/>
      <c r="AG7" s="546"/>
      <c r="AH7" s="546"/>
      <c r="AI7" s="546"/>
      <c r="AJ7" s="546"/>
      <c r="AK7" s="546"/>
      <c r="AL7" s="546"/>
      <c r="AM7" s="546"/>
      <c r="AN7" s="546"/>
      <c r="AO7" s="546"/>
      <c r="AP7" s="546"/>
      <c r="AQ7" s="546"/>
      <c r="AR7" s="546"/>
      <c r="AS7" s="546"/>
      <c r="AT7" s="546"/>
      <c r="AU7" s="546"/>
      <c r="AV7" s="546"/>
      <c r="AW7" s="546"/>
      <c r="AX7" s="546"/>
      <c r="AY7" s="546"/>
      <c r="AZ7" s="546"/>
    </row>
    <row r="8" spans="1:52" ht="15" customHeight="1">
      <c r="A8" s="552"/>
      <c r="B8" s="540" t="s">
        <v>520</v>
      </c>
      <c r="C8" s="525" t="s">
        <v>249</v>
      </c>
      <c r="D8" s="534">
        <v>0.28888888888888886</v>
      </c>
      <c r="E8" s="525">
        <v>-2.0299999999999998</v>
      </c>
      <c r="F8" s="531">
        <f>G8/(1+$I$2)</f>
        <v>0.90909090909090906</v>
      </c>
      <c r="G8" s="531">
        <f t="shared" si="7"/>
        <v>1</v>
      </c>
      <c r="H8" s="528">
        <f t="shared" si="0"/>
        <v>57.556073148417745</v>
      </c>
      <c r="I8" s="529">
        <f t="shared" si="1"/>
        <v>-2.4439268515822548</v>
      </c>
      <c r="J8" s="535">
        <v>0.567805</v>
      </c>
      <c r="K8" s="525">
        <v>2</v>
      </c>
      <c r="L8" s="531">
        <f>F8*J8</f>
        <v>0.51618636363636361</v>
      </c>
      <c r="M8" s="527">
        <f t="shared" ref="M8" si="10">E8-10*LOG(J8)</f>
        <v>0.42800787465588419</v>
      </c>
      <c r="N8" s="527">
        <f t="shared" ref="N8" si="11">H8-10*LOG(O8*10^6)</f>
        <v>-5.0402999566398137</v>
      </c>
      <c r="O8" s="527">
        <f t="shared" ref="O8" si="12">F8*K8</f>
        <v>1.8181818181818181</v>
      </c>
      <c r="P8" s="527">
        <f>O8*D8</f>
        <v>0.52525252525252519</v>
      </c>
      <c r="Q8" s="527">
        <f>O8*(1-D8)</f>
        <v>1.292929292929293</v>
      </c>
      <c r="R8" s="533">
        <f t="shared" si="6"/>
        <v>1.7260576923076861E-2</v>
      </c>
      <c r="S8" s="547" t="s">
        <v>3</v>
      </c>
      <c r="T8" s="547"/>
      <c r="U8" s="547"/>
      <c r="V8" s="547"/>
      <c r="W8" s="547"/>
      <c r="X8" s="547"/>
      <c r="Y8" s="547"/>
      <c r="Z8" s="547"/>
      <c r="AA8" s="547"/>
      <c r="AB8" s="546"/>
      <c r="AC8" s="546"/>
      <c r="AD8" s="546"/>
      <c r="AE8" s="546"/>
      <c r="AF8" s="546"/>
      <c r="AG8" s="546"/>
      <c r="AH8" s="546"/>
      <c r="AI8" s="546"/>
      <c r="AJ8" s="546"/>
      <c r="AK8" s="546"/>
      <c r="AL8" s="546"/>
      <c r="AM8" s="546"/>
      <c r="AN8" s="546"/>
      <c r="AO8" s="546"/>
      <c r="AP8" s="546"/>
      <c r="AQ8" s="546"/>
      <c r="AR8" s="546"/>
      <c r="AS8" s="546"/>
      <c r="AT8" s="546"/>
      <c r="AU8" s="546"/>
      <c r="AV8" s="546"/>
      <c r="AW8" s="546"/>
      <c r="AX8" s="546"/>
      <c r="AY8" s="546"/>
      <c r="AZ8" s="546"/>
    </row>
    <row r="9" spans="1:52" ht="14">
      <c r="A9" s="552"/>
      <c r="B9" s="541" t="s">
        <v>521</v>
      </c>
      <c r="C9" s="519" t="s">
        <v>249</v>
      </c>
      <c r="D9" s="520">
        <v>0.33333333333333331</v>
      </c>
      <c r="E9" s="519">
        <v>-1.24</v>
      </c>
      <c r="F9" s="522">
        <f t="shared" ref="F9:F63" si="13">G9/(1+$I$2)</f>
        <v>0.90909090909090906</v>
      </c>
      <c r="G9" s="522">
        <f t="shared" si="7"/>
        <v>1</v>
      </c>
      <c r="H9" s="350">
        <f t="shared" si="0"/>
        <v>58.346073148417744</v>
      </c>
      <c r="I9" s="277">
        <f t="shared" si="1"/>
        <v>-1.6539268515822556</v>
      </c>
      <c r="J9" s="517">
        <v>0.65644800000000003</v>
      </c>
      <c r="K9" s="519">
        <v>2</v>
      </c>
      <c r="L9" s="522">
        <f t="shared" si="2"/>
        <v>0.59677090909090913</v>
      </c>
      <c r="M9" s="516">
        <f t="shared" si="3"/>
        <v>0.5879967049985575</v>
      </c>
      <c r="N9" s="516">
        <f t="shared" si="4"/>
        <v>-4.2502999566398145</v>
      </c>
      <c r="O9" s="516">
        <f t="shared" si="5"/>
        <v>1.8181818181818181</v>
      </c>
      <c r="P9" s="516">
        <f t="shared" si="8"/>
        <v>0.60606060606060597</v>
      </c>
      <c r="Q9" s="516">
        <f t="shared" si="9"/>
        <v>1.2121212121212122</v>
      </c>
      <c r="R9" s="523">
        <f t="shared" si="6"/>
        <v>1.5327999999999783E-2</v>
      </c>
      <c r="S9" s="547"/>
      <c r="T9" s="547"/>
      <c r="U9" s="547"/>
      <c r="V9" s="547"/>
      <c r="W9" s="547"/>
      <c r="X9" s="547"/>
      <c r="Y9" s="547"/>
      <c r="Z9" s="547"/>
      <c r="AA9" s="547"/>
      <c r="AB9" s="546"/>
      <c r="AC9" s="546"/>
      <c r="AD9" s="546"/>
      <c r="AE9" s="546"/>
      <c r="AF9" s="546"/>
      <c r="AG9" s="546"/>
      <c r="AH9" s="546"/>
      <c r="AI9" s="546"/>
      <c r="AJ9" s="546"/>
      <c r="AK9" s="546"/>
      <c r="AL9" s="546"/>
      <c r="AM9" s="546"/>
      <c r="AN9" s="546"/>
      <c r="AO9" s="546"/>
      <c r="AP9" s="546"/>
      <c r="AQ9" s="546"/>
      <c r="AR9" s="546"/>
      <c r="AS9" s="546"/>
      <c r="AT9" s="546"/>
      <c r="AU9" s="546"/>
      <c r="AV9" s="546"/>
      <c r="AW9" s="546"/>
      <c r="AX9" s="546"/>
      <c r="AY9" s="546"/>
      <c r="AZ9" s="546"/>
    </row>
    <row r="10" spans="1:52" ht="14">
      <c r="A10" s="552"/>
      <c r="B10" s="541" t="s">
        <v>521</v>
      </c>
      <c r="C10" s="519" t="s">
        <v>249</v>
      </c>
      <c r="D10" s="520">
        <v>0.4</v>
      </c>
      <c r="E10" s="519">
        <v>-0.3</v>
      </c>
      <c r="F10" s="522">
        <f t="shared" si="13"/>
        <v>0.90909090909090906</v>
      </c>
      <c r="G10" s="522">
        <f t="shared" si="7"/>
        <v>1</v>
      </c>
      <c r="H10" s="350">
        <f t="shared" si="0"/>
        <v>59.286073148417749</v>
      </c>
      <c r="I10" s="277">
        <f t="shared" si="1"/>
        <v>-0.71392685158225078</v>
      </c>
      <c r="J10" s="517">
        <v>0.789412</v>
      </c>
      <c r="K10" s="519">
        <v>2</v>
      </c>
      <c r="L10" s="522">
        <f t="shared" si="2"/>
        <v>0.71764727272727269</v>
      </c>
      <c r="M10" s="516">
        <f t="shared" si="3"/>
        <v>0.72696276098380475</v>
      </c>
      <c r="N10" s="516">
        <f t="shared" si="4"/>
        <v>-3.3102999566398097</v>
      </c>
      <c r="O10" s="516">
        <f t="shared" si="5"/>
        <v>1.8181818181818181</v>
      </c>
      <c r="P10" s="516">
        <f t="shared" si="8"/>
        <v>0.72727272727272729</v>
      </c>
      <c r="Q10" s="516">
        <f t="shared" si="9"/>
        <v>1.0909090909090908</v>
      </c>
      <c r="R10" s="523">
        <f t="shared" si="6"/>
        <v>1.323500000000008E-2</v>
      </c>
      <c r="S10" s="547"/>
      <c r="T10" s="547"/>
      <c r="U10" s="547"/>
      <c r="V10" s="547"/>
      <c r="W10" s="547"/>
      <c r="X10" s="547"/>
      <c r="Y10" s="547"/>
      <c r="Z10" s="547"/>
      <c r="AA10" s="547"/>
      <c r="AB10" s="546"/>
      <c r="AC10" s="546"/>
      <c r="AD10" s="546"/>
      <c r="AE10" s="546"/>
      <c r="AF10" s="546"/>
      <c r="AG10" s="546"/>
      <c r="AH10" s="546"/>
      <c r="AI10" s="546"/>
      <c r="AJ10" s="546"/>
      <c r="AK10" s="546"/>
      <c r="AL10" s="546"/>
      <c r="AM10" s="546"/>
      <c r="AN10" s="546"/>
      <c r="AO10" s="546"/>
      <c r="AP10" s="546"/>
      <c r="AQ10" s="546"/>
      <c r="AR10" s="546"/>
      <c r="AS10" s="546"/>
      <c r="AT10" s="546"/>
      <c r="AU10" s="546"/>
      <c r="AV10" s="546"/>
      <c r="AW10" s="546"/>
      <c r="AX10" s="546"/>
      <c r="AY10" s="546"/>
      <c r="AZ10" s="546"/>
    </row>
    <row r="11" spans="1:52" ht="14">
      <c r="A11" s="552"/>
      <c r="B11" s="540" t="s">
        <v>520</v>
      </c>
      <c r="C11" s="525" t="s">
        <v>249</v>
      </c>
      <c r="D11" s="534">
        <v>0.45</v>
      </c>
      <c r="E11" s="525">
        <v>0.22</v>
      </c>
      <c r="F11" s="531">
        <f t="shared" ref="F11" si="14">G11/(1+$I$2)</f>
        <v>0.90909090909090906</v>
      </c>
      <c r="G11" s="531">
        <f t="shared" si="7"/>
        <v>1</v>
      </c>
      <c r="H11" s="528">
        <f t="shared" ref="H11" si="15">E11+10*LOG(F11*10^6)</f>
        <v>59.806073148417745</v>
      </c>
      <c r="I11" s="529">
        <f t="shared" ref="I11" si="16">H11-10*LOG(G11*10^6)</f>
        <v>-0.19392685158225476</v>
      </c>
      <c r="J11" s="535">
        <v>0.88913500000000001</v>
      </c>
      <c r="K11" s="525">
        <v>2</v>
      </c>
      <c r="L11" s="531">
        <f t="shared" si="2"/>
        <v>0.80830454545454544</v>
      </c>
      <c r="M11" s="527">
        <f t="shared" si="3"/>
        <v>0.73032293806088888</v>
      </c>
      <c r="N11" s="527">
        <f t="shared" si="4"/>
        <v>-2.7902999566398137</v>
      </c>
      <c r="O11" s="527">
        <f t="shared" si="5"/>
        <v>1.8181818181818181</v>
      </c>
      <c r="P11" s="527">
        <f>O11*D11</f>
        <v>0.81818181818181812</v>
      </c>
      <c r="Q11" s="527">
        <f>O11*(1-D11)</f>
        <v>1</v>
      </c>
      <c r="R11" s="533">
        <f t="shared" si="6"/>
        <v>1.2072222222222165E-2</v>
      </c>
      <c r="S11" s="547"/>
      <c r="T11" s="547"/>
      <c r="U11" s="547"/>
      <c r="V11" s="547"/>
      <c r="W11" s="547"/>
      <c r="X11" s="547"/>
      <c r="Y11" s="547"/>
      <c r="Z11" s="547"/>
      <c r="AA11" s="547"/>
      <c r="AB11" s="546"/>
      <c r="AC11" s="546"/>
      <c r="AD11" s="546"/>
      <c r="AE11" s="546"/>
      <c r="AF11" s="546"/>
      <c r="AG11" s="546"/>
      <c r="AH11" s="546"/>
      <c r="AI11" s="546"/>
      <c r="AJ11" s="546"/>
      <c r="AK11" s="546"/>
      <c r="AL11" s="546"/>
      <c r="AM11" s="546"/>
      <c r="AN11" s="546"/>
      <c r="AO11" s="546"/>
      <c r="AP11" s="546"/>
      <c r="AQ11" s="546"/>
      <c r="AR11" s="546"/>
      <c r="AS11" s="546"/>
      <c r="AT11" s="546"/>
      <c r="AU11" s="546"/>
      <c r="AV11" s="546"/>
      <c r="AW11" s="546"/>
      <c r="AX11" s="546"/>
      <c r="AY11" s="546"/>
      <c r="AZ11" s="546"/>
    </row>
    <row r="12" spans="1:52" ht="14">
      <c r="A12" s="552"/>
      <c r="B12" s="541" t="s">
        <v>521</v>
      </c>
      <c r="C12" s="519" t="s">
        <v>249</v>
      </c>
      <c r="D12" s="520">
        <v>0.5</v>
      </c>
      <c r="E12" s="516">
        <v>1</v>
      </c>
      <c r="F12" s="522">
        <f t="shared" si="13"/>
        <v>0.90909090909090906</v>
      </c>
      <c r="G12" s="522">
        <f t="shared" si="7"/>
        <v>1</v>
      </c>
      <c r="H12" s="350">
        <f t="shared" si="0"/>
        <v>60.586073148417746</v>
      </c>
      <c r="I12" s="277">
        <f t="shared" si="1"/>
        <v>0.58607314841774638</v>
      </c>
      <c r="J12" s="517">
        <v>0.98885800000000001</v>
      </c>
      <c r="K12" s="518">
        <v>2</v>
      </c>
      <c r="L12" s="522">
        <f t="shared" si="2"/>
        <v>0.8989618181818182</v>
      </c>
      <c r="M12" s="516">
        <f t="shared" si="3"/>
        <v>1.0486606860920165</v>
      </c>
      <c r="N12" s="516">
        <f t="shared" si="4"/>
        <v>-2.0102999566398125</v>
      </c>
      <c r="O12" s="516">
        <f t="shared" si="5"/>
        <v>1.8181818181818181</v>
      </c>
      <c r="P12" s="516">
        <f t="shared" si="8"/>
        <v>0.90909090909090906</v>
      </c>
      <c r="Q12" s="516">
        <f t="shared" si="9"/>
        <v>0.90909090909090906</v>
      </c>
      <c r="R12" s="523">
        <f t="shared" si="6"/>
        <v>1.1141999999999952E-2</v>
      </c>
      <c r="S12" s="547"/>
      <c r="T12" s="547"/>
      <c r="U12" s="547"/>
      <c r="V12" s="547"/>
      <c r="W12" s="547"/>
      <c r="X12" s="547"/>
      <c r="Y12" s="547"/>
      <c r="Z12" s="547"/>
      <c r="AA12" s="547"/>
      <c r="AB12" s="546"/>
      <c r="AC12" s="546"/>
      <c r="AD12" s="546"/>
      <c r="AE12" s="546"/>
      <c r="AF12" s="546"/>
      <c r="AG12" s="546"/>
      <c r="AH12" s="546"/>
      <c r="AI12" s="546"/>
      <c r="AJ12" s="546"/>
      <c r="AK12" s="546"/>
      <c r="AL12" s="546"/>
      <c r="AM12" s="546"/>
      <c r="AN12" s="546"/>
      <c r="AO12" s="546"/>
      <c r="AP12" s="546"/>
      <c r="AQ12" s="546"/>
      <c r="AR12" s="546"/>
      <c r="AS12" s="546"/>
      <c r="AT12" s="546"/>
      <c r="AU12" s="546"/>
      <c r="AV12" s="546"/>
      <c r="AW12" s="546"/>
      <c r="AX12" s="546"/>
      <c r="AY12" s="546"/>
      <c r="AZ12" s="546"/>
    </row>
    <row r="13" spans="1:52" ht="14">
      <c r="A13" s="552"/>
      <c r="B13" s="540" t="s">
        <v>520</v>
      </c>
      <c r="C13" s="525" t="s">
        <v>249</v>
      </c>
      <c r="D13" s="534">
        <v>0.55000000000000004</v>
      </c>
      <c r="E13" s="527">
        <v>1.45</v>
      </c>
      <c r="F13" s="531">
        <f t="shared" ref="F13" si="17">G13/(1+$I$2)</f>
        <v>0.90909090909090906</v>
      </c>
      <c r="G13" s="531">
        <f t="shared" si="7"/>
        <v>1</v>
      </c>
      <c r="H13" s="528">
        <f t="shared" ref="H13" si="18">E13+10*LOG(F13*10^6)</f>
        <v>61.036073148417749</v>
      </c>
      <c r="I13" s="529">
        <f t="shared" ref="I13" si="19">H13-10*LOG(G13*10^6)</f>
        <v>1.0360731484177492</v>
      </c>
      <c r="J13" s="535">
        <v>1.088581</v>
      </c>
      <c r="K13" s="536">
        <v>2</v>
      </c>
      <c r="L13" s="531">
        <f t="shared" ref="L13" si="20">F13*J13</f>
        <v>0.98961909090909095</v>
      </c>
      <c r="M13" s="527">
        <f t="shared" ref="M13" si="21">E13-10*LOG(J13)</f>
        <v>1.0813925009166878</v>
      </c>
      <c r="N13" s="527">
        <f t="shared" ref="N13" si="22">H13-10*LOG(O13*10^6)</f>
        <v>-1.5602999566398097</v>
      </c>
      <c r="O13" s="527">
        <f t="shared" ref="O13" si="23">F13*K13</f>
        <v>1.8181818181818181</v>
      </c>
      <c r="P13" s="527">
        <f>O13*D13</f>
        <v>1</v>
      </c>
      <c r="Q13" s="527">
        <f>O13*(1-D13)</f>
        <v>0.81818181818181812</v>
      </c>
      <c r="R13" s="533">
        <f t="shared" ref="R13" si="24">(P13-L13)/P13</f>
        <v>1.0380909090909052E-2</v>
      </c>
      <c r="S13" s="547"/>
      <c r="T13" s="547"/>
      <c r="U13" s="547"/>
      <c r="V13" s="547"/>
      <c r="W13" s="547"/>
      <c r="X13" s="547"/>
      <c r="Y13" s="547"/>
      <c r="Z13" s="547"/>
      <c r="AA13" s="547"/>
      <c r="AB13" s="546"/>
      <c r="AC13" s="546"/>
      <c r="AD13" s="546"/>
      <c r="AE13" s="546"/>
      <c r="AF13" s="546"/>
      <c r="AG13" s="546"/>
      <c r="AH13" s="546"/>
      <c r="AI13" s="546"/>
      <c r="AJ13" s="546"/>
      <c r="AK13" s="546"/>
      <c r="AL13" s="546"/>
      <c r="AM13" s="546"/>
      <c r="AN13" s="546"/>
      <c r="AO13" s="546"/>
      <c r="AP13" s="546"/>
      <c r="AQ13" s="546"/>
      <c r="AR13" s="546"/>
      <c r="AS13" s="546"/>
      <c r="AT13" s="546"/>
      <c r="AU13" s="546"/>
      <c r="AV13" s="546"/>
      <c r="AW13" s="546"/>
      <c r="AX13" s="546"/>
      <c r="AY13" s="546"/>
      <c r="AZ13" s="546"/>
    </row>
    <row r="14" spans="1:52" ht="14">
      <c r="A14" s="552"/>
      <c r="B14" s="541" t="s">
        <v>521</v>
      </c>
      <c r="C14" s="519" t="s">
        <v>249</v>
      </c>
      <c r="D14" s="520">
        <v>0.6</v>
      </c>
      <c r="E14" s="516">
        <v>2.23</v>
      </c>
      <c r="F14" s="522">
        <f t="shared" si="13"/>
        <v>0.90909090909090906</v>
      </c>
      <c r="G14" s="522">
        <f t="shared" si="7"/>
        <v>1</v>
      </c>
      <c r="H14" s="350">
        <f t="shared" si="0"/>
        <v>61.816073148417743</v>
      </c>
      <c r="I14" s="277">
        <f t="shared" si="1"/>
        <v>1.8160731484177433</v>
      </c>
      <c r="J14" s="517">
        <v>1.188304</v>
      </c>
      <c r="K14" s="518">
        <v>2</v>
      </c>
      <c r="L14" s="522">
        <f t="shared" si="2"/>
        <v>1.0802763636363637</v>
      </c>
      <c r="M14" s="516">
        <f t="shared" si="3"/>
        <v>1.4807244097668941</v>
      </c>
      <c r="N14" s="516">
        <f t="shared" si="4"/>
        <v>-0.78029995663981566</v>
      </c>
      <c r="O14" s="516">
        <f t="shared" si="5"/>
        <v>1.8181818181818181</v>
      </c>
      <c r="P14" s="516">
        <f t="shared" si="8"/>
        <v>1.0909090909090908</v>
      </c>
      <c r="Q14" s="516">
        <f t="shared" si="9"/>
        <v>0.72727272727272729</v>
      </c>
      <c r="R14" s="523">
        <f t="shared" si="6"/>
        <v>9.7466666666665338E-3</v>
      </c>
      <c r="S14" s="547"/>
      <c r="T14" s="547"/>
      <c r="U14" s="547"/>
      <c r="V14" s="547"/>
      <c r="W14" s="547"/>
      <c r="X14" s="547"/>
      <c r="Y14" s="547"/>
      <c r="Z14" s="547"/>
      <c r="AA14" s="547"/>
      <c r="AB14" s="546"/>
      <c r="AC14" s="546"/>
      <c r="AD14" s="546"/>
      <c r="AE14" s="546"/>
      <c r="AF14" s="548" t="s">
        <v>517</v>
      </c>
      <c r="AG14" s="546"/>
      <c r="AH14" s="546"/>
      <c r="AI14" s="546"/>
      <c r="AJ14" s="546"/>
      <c r="AK14" s="546"/>
      <c r="AL14" s="546"/>
      <c r="AM14" s="546"/>
      <c r="AN14" s="546"/>
      <c r="AO14" s="546"/>
      <c r="AP14" s="546"/>
      <c r="AQ14" s="546"/>
      <c r="AR14" s="546"/>
      <c r="AS14" s="546"/>
      <c r="AT14" s="546"/>
      <c r="AU14" s="546"/>
      <c r="AV14" s="546"/>
      <c r="AW14" s="546"/>
      <c r="AX14" s="546"/>
      <c r="AY14" s="546"/>
      <c r="AZ14" s="546"/>
    </row>
    <row r="15" spans="1:52" ht="16">
      <c r="A15" s="551" t="s">
        <v>3</v>
      </c>
      <c r="B15" s="541" t="s">
        <v>521</v>
      </c>
      <c r="C15" s="519" t="s">
        <v>249</v>
      </c>
      <c r="D15" s="520">
        <v>0.66666666666666663</v>
      </c>
      <c r="E15" s="516">
        <v>3.1</v>
      </c>
      <c r="F15" s="522">
        <f t="shared" si="13"/>
        <v>0.90909090909090906</v>
      </c>
      <c r="G15" s="522">
        <f t="shared" si="7"/>
        <v>1</v>
      </c>
      <c r="H15" s="350">
        <f t="shared" si="0"/>
        <v>62.686073148417748</v>
      </c>
      <c r="I15" s="277">
        <f t="shared" si="1"/>
        <v>2.6860731484177478</v>
      </c>
      <c r="J15" s="517">
        <v>1.3222529999999999</v>
      </c>
      <c r="K15" s="518">
        <v>2</v>
      </c>
      <c r="L15" s="522">
        <f t="shared" si="2"/>
        <v>1.2020481818181816</v>
      </c>
      <c r="M15" s="516">
        <f t="shared" si="3"/>
        <v>1.8868543895676191</v>
      </c>
      <c r="N15" s="516">
        <f t="shared" si="4"/>
        <v>8.9700043360188886E-2</v>
      </c>
      <c r="O15" s="516">
        <f t="shared" si="5"/>
        <v>1.8181818181818181</v>
      </c>
      <c r="P15" s="516">
        <f t="shared" si="8"/>
        <v>1.2121212121212119</v>
      </c>
      <c r="Q15" s="516">
        <f t="shared" si="9"/>
        <v>0.60606060606060608</v>
      </c>
      <c r="R15" s="523">
        <f t="shared" si="6"/>
        <v>8.3102500000000034E-3</v>
      </c>
      <c r="S15" s="547"/>
      <c r="T15" s="547"/>
      <c r="U15" s="547"/>
      <c r="V15" s="547"/>
      <c r="W15" s="547"/>
      <c r="X15" s="547"/>
      <c r="Y15" s="547"/>
      <c r="Z15" s="547"/>
      <c r="AA15" s="547"/>
      <c r="AB15" s="546"/>
      <c r="AC15" s="546"/>
      <c r="AD15" s="546"/>
      <c r="AE15" s="546"/>
      <c r="AF15" s="549" t="s">
        <v>515</v>
      </c>
      <c r="AG15" s="546"/>
      <c r="AH15" s="546"/>
      <c r="AI15" s="546"/>
      <c r="AJ15" s="546"/>
      <c r="AK15" s="546"/>
      <c r="AL15" s="546"/>
      <c r="AM15" s="546"/>
      <c r="AN15" s="546"/>
      <c r="AO15" s="546"/>
      <c r="AP15" s="546"/>
      <c r="AQ15" s="546"/>
      <c r="AR15" s="546"/>
      <c r="AS15" s="546"/>
      <c r="AT15" s="546"/>
      <c r="AU15" s="546"/>
      <c r="AV15" s="546"/>
      <c r="AW15" s="546"/>
      <c r="AX15" s="546"/>
      <c r="AY15" s="546"/>
      <c r="AZ15" s="546"/>
    </row>
    <row r="16" spans="1:52" ht="14">
      <c r="A16" s="552"/>
      <c r="B16" s="541" t="s">
        <v>521</v>
      </c>
      <c r="C16" s="519" t="s">
        <v>249</v>
      </c>
      <c r="D16" s="520">
        <v>0.75</v>
      </c>
      <c r="E16" s="516">
        <v>4.03</v>
      </c>
      <c r="F16" s="522">
        <f t="shared" si="13"/>
        <v>0.90909090909090906</v>
      </c>
      <c r="G16" s="522">
        <f t="shared" si="7"/>
        <v>1</v>
      </c>
      <c r="H16" s="350">
        <f t="shared" si="0"/>
        <v>63.616073148417748</v>
      </c>
      <c r="I16" s="277">
        <f t="shared" si="1"/>
        <v>3.6160731484177475</v>
      </c>
      <c r="J16" s="517">
        <v>1.487473</v>
      </c>
      <c r="K16" s="518">
        <v>2</v>
      </c>
      <c r="L16" s="522">
        <f t="shared" si="2"/>
        <v>1.3522481818181817</v>
      </c>
      <c r="M16" s="516">
        <f t="shared" si="3"/>
        <v>2.305509086632334</v>
      </c>
      <c r="N16" s="516">
        <f t="shared" si="4"/>
        <v>1.0197000433601886</v>
      </c>
      <c r="O16" s="516">
        <f t="shared" si="5"/>
        <v>1.8181818181818181</v>
      </c>
      <c r="P16" s="516">
        <f t="shared" si="8"/>
        <v>1.3636363636363635</v>
      </c>
      <c r="Q16" s="516">
        <f t="shared" si="9"/>
        <v>0.45454545454545453</v>
      </c>
      <c r="R16" s="523">
        <f t="shared" si="6"/>
        <v>8.3513333333333183E-3</v>
      </c>
      <c r="S16" s="547"/>
      <c r="T16" s="547"/>
      <c r="U16" s="547"/>
      <c r="V16" s="547"/>
      <c r="W16" s="547"/>
      <c r="X16" s="547"/>
      <c r="Y16" s="547"/>
      <c r="Z16" s="547"/>
      <c r="AA16" s="547"/>
      <c r="AB16" s="546"/>
      <c r="AC16" s="546"/>
      <c r="AD16" s="546"/>
      <c r="AE16" s="546"/>
      <c r="AF16" s="546"/>
      <c r="AG16" s="546"/>
      <c r="AH16" s="546"/>
      <c r="AI16" s="546"/>
      <c r="AJ16" s="546"/>
      <c r="AK16" s="546"/>
      <c r="AL16" s="546"/>
      <c r="AM16" s="546"/>
      <c r="AN16" s="546"/>
      <c r="AO16" s="546"/>
      <c r="AP16" s="546"/>
      <c r="AQ16" s="546"/>
      <c r="AR16" s="546"/>
      <c r="AS16" s="546"/>
      <c r="AT16" s="546"/>
      <c r="AU16" s="546"/>
      <c r="AV16" s="546"/>
      <c r="AW16" s="546"/>
      <c r="AX16" s="546"/>
      <c r="AY16" s="546"/>
      <c r="AZ16" s="546"/>
    </row>
    <row r="17" spans="1:52" ht="14">
      <c r="A17" s="552"/>
      <c r="B17" s="541" t="s">
        <v>521</v>
      </c>
      <c r="C17" s="519" t="s">
        <v>249</v>
      </c>
      <c r="D17" s="520">
        <v>0.8</v>
      </c>
      <c r="E17" s="516">
        <v>4.68</v>
      </c>
      <c r="F17" s="522">
        <f t="shared" si="13"/>
        <v>0.90909090909090906</v>
      </c>
      <c r="G17" s="522">
        <f t="shared" si="7"/>
        <v>1</v>
      </c>
      <c r="H17" s="350">
        <f t="shared" si="0"/>
        <v>64.266073148417746</v>
      </c>
      <c r="I17" s="277">
        <f t="shared" si="1"/>
        <v>4.2660731484177461</v>
      </c>
      <c r="J17" s="517">
        <v>1.5871960000000001</v>
      </c>
      <c r="K17" s="518">
        <v>2</v>
      </c>
      <c r="L17" s="522">
        <f t="shared" si="2"/>
        <v>1.4429054545454545</v>
      </c>
      <c r="M17" s="516">
        <f t="shared" si="3"/>
        <v>2.6736943968341755</v>
      </c>
      <c r="N17" s="516">
        <f t="shared" si="4"/>
        <v>1.6697000433601872</v>
      </c>
      <c r="O17" s="516">
        <f t="shared" si="5"/>
        <v>1.8181818181818181</v>
      </c>
      <c r="P17" s="516">
        <f t="shared" si="8"/>
        <v>1.4545454545454546</v>
      </c>
      <c r="Q17" s="516">
        <f t="shared" si="9"/>
        <v>0.36363636363636354</v>
      </c>
      <c r="R17" s="523">
        <f t="shared" si="6"/>
        <v>8.0025000000000651E-3</v>
      </c>
      <c r="S17" s="547"/>
      <c r="T17" s="547"/>
      <c r="U17" s="547"/>
      <c r="V17" s="547"/>
      <c r="W17" s="547"/>
      <c r="X17" s="547"/>
      <c r="Y17" s="547"/>
      <c r="Z17" s="547"/>
      <c r="AA17" s="547"/>
      <c r="AB17" s="546"/>
      <c r="AC17" s="546"/>
      <c r="AD17" s="546"/>
      <c r="AE17" s="546"/>
      <c r="AF17" s="546"/>
      <c r="AG17" s="546"/>
      <c r="AH17" s="546"/>
      <c r="AI17" s="546"/>
      <c r="AJ17" s="546"/>
      <c r="AK17" s="546"/>
      <c r="AL17" s="546"/>
      <c r="AM17" s="546"/>
      <c r="AN17" s="546"/>
      <c r="AO17" s="546"/>
      <c r="AP17" s="546"/>
      <c r="AQ17" s="546"/>
      <c r="AR17" s="546"/>
      <c r="AS17" s="546"/>
      <c r="AT17" s="546"/>
      <c r="AU17" s="546"/>
      <c r="AV17" s="546"/>
      <c r="AW17" s="546"/>
      <c r="AX17" s="546"/>
      <c r="AY17" s="546"/>
      <c r="AZ17" s="546"/>
    </row>
    <row r="18" spans="1:52" ht="14">
      <c r="A18" s="552"/>
      <c r="B18" s="540" t="s">
        <v>520</v>
      </c>
      <c r="C18" s="525" t="s">
        <v>522</v>
      </c>
      <c r="D18" s="534" t="s">
        <v>523</v>
      </c>
      <c r="E18" s="527">
        <v>4.7300000000000004</v>
      </c>
      <c r="F18" s="531">
        <f t="shared" ref="F18:F19" si="25">G18/(1+$I$2)</f>
        <v>0.90909090909090906</v>
      </c>
      <c r="G18" s="531">
        <f t="shared" si="7"/>
        <v>1</v>
      </c>
      <c r="H18" s="528">
        <f t="shared" ref="H18:H19" si="26">E18+10*LOG(F18*10^6)</f>
        <v>64.316073148417743</v>
      </c>
      <c r="I18" s="529">
        <f t="shared" ref="I18:I19" si="27">H18-10*LOG(G18*10^6)</f>
        <v>4.3160731484177433</v>
      </c>
      <c r="J18" s="535">
        <v>1.647211</v>
      </c>
      <c r="K18" s="536">
        <v>3</v>
      </c>
      <c r="L18" s="531">
        <f t="shared" ref="L18:L19" si="28">F18*J18</f>
        <v>1.4974645454545454</v>
      </c>
      <c r="M18" s="527">
        <f t="shared" ref="M18:M19" si="29">E18-10*LOG(J18)</f>
        <v>2.5625076618158058</v>
      </c>
      <c r="N18" s="527">
        <f t="shared" ref="N18:N19" si="30">H18-10*LOG(O18*10^6)</f>
        <v>-4.121254719662204E-2</v>
      </c>
      <c r="O18" s="527">
        <f t="shared" ref="O18:O19" si="31">F18*K18</f>
        <v>2.7272727272727271</v>
      </c>
      <c r="P18" s="527">
        <f>O18*(5/9)</f>
        <v>1.5151515151515151</v>
      </c>
      <c r="Q18" s="527">
        <f>O18*(1-(5/9))</f>
        <v>1.2121212121212119</v>
      </c>
      <c r="R18" s="533">
        <f t="shared" ref="R18:R19" si="32">(P18-L18)/P18</f>
        <v>1.1673400000000002E-2</v>
      </c>
      <c r="S18" s="547" t="s">
        <v>3</v>
      </c>
      <c r="T18" s="547"/>
      <c r="U18" s="547"/>
      <c r="V18" s="547"/>
      <c r="W18" s="547"/>
      <c r="X18" s="547"/>
      <c r="Y18" s="547"/>
      <c r="Z18" s="547"/>
      <c r="AA18" s="547"/>
      <c r="AB18" s="546"/>
      <c r="AC18" s="546"/>
      <c r="AD18" s="546"/>
      <c r="AE18" s="546"/>
      <c r="AF18" s="550" t="s">
        <v>3</v>
      </c>
      <c r="AG18" s="546"/>
      <c r="AH18" s="546"/>
      <c r="AI18" s="546"/>
      <c r="AJ18" s="546"/>
      <c r="AK18" s="546"/>
      <c r="AL18" s="546"/>
      <c r="AM18" s="546"/>
      <c r="AN18" s="546"/>
      <c r="AO18" s="546"/>
      <c r="AP18" s="546"/>
      <c r="AQ18" s="546"/>
      <c r="AR18" s="546"/>
      <c r="AS18" s="546"/>
      <c r="AT18" s="546"/>
      <c r="AU18" s="546"/>
      <c r="AV18" s="546"/>
      <c r="AW18" s="546"/>
      <c r="AX18" s="546"/>
      <c r="AY18" s="546"/>
      <c r="AZ18" s="546"/>
    </row>
    <row r="19" spans="1:52" ht="14">
      <c r="A19" s="552"/>
      <c r="B19" s="540" t="s">
        <v>520</v>
      </c>
      <c r="C19" s="525" t="s">
        <v>522</v>
      </c>
      <c r="D19" s="534" t="s">
        <v>524</v>
      </c>
      <c r="E19" s="527">
        <v>5.13</v>
      </c>
      <c r="F19" s="531">
        <f t="shared" si="25"/>
        <v>0.90909090909090906</v>
      </c>
      <c r="G19" s="531">
        <f t="shared" si="7"/>
        <v>1</v>
      </c>
      <c r="H19" s="528">
        <f t="shared" si="26"/>
        <v>64.716073148417749</v>
      </c>
      <c r="I19" s="529">
        <f t="shared" si="27"/>
        <v>4.7160731484177489</v>
      </c>
      <c r="J19" s="535">
        <v>1.7136009999999999</v>
      </c>
      <c r="K19" s="536">
        <v>3</v>
      </c>
      <c r="L19" s="531">
        <f t="shared" si="28"/>
        <v>1.5578190909090908</v>
      </c>
      <c r="M19" s="527">
        <f t="shared" si="29"/>
        <v>2.7909029307246982</v>
      </c>
      <c r="N19" s="527">
        <f t="shared" si="30"/>
        <v>0.35878745280338364</v>
      </c>
      <c r="O19" s="527">
        <f t="shared" si="31"/>
        <v>2.7272727272727271</v>
      </c>
      <c r="P19" s="527">
        <f>O19*(26/45)</f>
        <v>1.5757575757575755</v>
      </c>
      <c r="Q19" s="527">
        <f>O19*(1-(26/45))</f>
        <v>1.1515151515151516</v>
      </c>
      <c r="R19" s="533">
        <f t="shared" si="32"/>
        <v>1.1384038461538373E-2</v>
      </c>
      <c r="S19" s="547"/>
      <c r="T19" s="547"/>
      <c r="U19" s="547"/>
      <c r="V19" s="547"/>
      <c r="W19" s="547"/>
      <c r="X19" s="547"/>
      <c r="Y19" s="547"/>
      <c r="Z19" s="547"/>
      <c r="AA19" s="547"/>
      <c r="AB19" s="546"/>
      <c r="AC19" s="546"/>
      <c r="AD19" s="546"/>
      <c r="AE19" s="546"/>
      <c r="AF19" s="546"/>
      <c r="AG19" s="546"/>
      <c r="AH19" s="546"/>
      <c r="AI19" s="546"/>
      <c r="AJ19" s="546"/>
      <c r="AK19" s="546"/>
      <c r="AL19" s="546"/>
      <c r="AM19" s="546"/>
      <c r="AN19" s="546"/>
      <c r="AO19" s="546"/>
      <c r="AP19" s="546"/>
      <c r="AQ19" s="546"/>
      <c r="AR19" s="546"/>
      <c r="AS19" s="546"/>
      <c r="AT19" s="546"/>
      <c r="AU19" s="546"/>
      <c r="AV19" s="546"/>
      <c r="AW19" s="546"/>
      <c r="AX19" s="546"/>
      <c r="AY19" s="546"/>
      <c r="AZ19" s="546"/>
    </row>
    <row r="20" spans="1:52" ht="14">
      <c r="A20" s="552"/>
      <c r="B20" s="541" t="s">
        <v>521</v>
      </c>
      <c r="C20" s="519" t="s">
        <v>249</v>
      </c>
      <c r="D20" s="520">
        <v>0.83333333333333337</v>
      </c>
      <c r="E20" s="516">
        <v>5.18</v>
      </c>
      <c r="F20" s="522">
        <f t="shared" si="13"/>
        <v>0.90909090909090906</v>
      </c>
      <c r="G20" s="522">
        <f t="shared" si="7"/>
        <v>1</v>
      </c>
      <c r="H20" s="350">
        <f t="shared" si="0"/>
        <v>64.766073148417746</v>
      </c>
      <c r="I20" s="277">
        <f t="shared" si="1"/>
        <v>4.7660731484177461</v>
      </c>
      <c r="J20" s="517">
        <v>1.654663</v>
      </c>
      <c r="K20" s="518">
        <v>2</v>
      </c>
      <c r="L20" s="522">
        <f t="shared" si="2"/>
        <v>1.5042390909090908</v>
      </c>
      <c r="M20" s="516">
        <f t="shared" si="3"/>
        <v>2.9929044427101088</v>
      </c>
      <c r="N20" s="516">
        <f t="shared" si="4"/>
        <v>2.1697000433601872</v>
      </c>
      <c r="O20" s="516">
        <f t="shared" si="5"/>
        <v>1.8181818181818181</v>
      </c>
      <c r="P20" s="516">
        <f t="shared" si="8"/>
        <v>1.5151515151515151</v>
      </c>
      <c r="Q20" s="516">
        <f t="shared" si="9"/>
        <v>0.30303030303030293</v>
      </c>
      <c r="R20" s="523">
        <f t="shared" si="6"/>
        <v>7.2022000000000605E-3</v>
      </c>
      <c r="S20" s="547"/>
      <c r="T20" s="547"/>
      <c r="U20" s="547"/>
      <c r="V20" s="547"/>
      <c r="W20" s="547"/>
      <c r="X20" s="547"/>
      <c r="Y20" s="547"/>
      <c r="Z20" s="547"/>
      <c r="AA20" s="547"/>
      <c r="AB20" s="546"/>
      <c r="AC20" s="546"/>
      <c r="AD20" s="546"/>
      <c r="AE20" s="546"/>
      <c r="AF20" s="546"/>
      <c r="AG20" s="546"/>
      <c r="AH20" s="546"/>
      <c r="AI20" s="546"/>
      <c r="AJ20" s="546"/>
      <c r="AK20" s="546"/>
      <c r="AL20" s="546"/>
      <c r="AM20" s="546"/>
      <c r="AN20" s="546"/>
      <c r="AO20" s="546"/>
      <c r="AP20" s="546"/>
      <c r="AQ20" s="546"/>
      <c r="AR20" s="546"/>
      <c r="AS20" s="546"/>
      <c r="AT20" s="546"/>
      <c r="AU20" s="546"/>
      <c r="AV20" s="546"/>
      <c r="AW20" s="546"/>
      <c r="AX20" s="546"/>
      <c r="AY20" s="546"/>
      <c r="AZ20" s="546"/>
    </row>
    <row r="21" spans="1:52" ht="14">
      <c r="A21" s="552"/>
      <c r="B21" s="541" t="s">
        <v>521</v>
      </c>
      <c r="C21" s="519" t="s">
        <v>250</v>
      </c>
      <c r="D21" s="520">
        <v>0.6</v>
      </c>
      <c r="E21" s="516">
        <v>5.5</v>
      </c>
      <c r="F21" s="522">
        <f t="shared" si="13"/>
        <v>0.90909090909090906</v>
      </c>
      <c r="G21" s="522">
        <f t="shared" si="7"/>
        <v>1</v>
      </c>
      <c r="H21" s="350">
        <f t="shared" si="0"/>
        <v>65.086073148417739</v>
      </c>
      <c r="I21" s="277">
        <f t="shared" si="1"/>
        <v>5.0860731484177393</v>
      </c>
      <c r="J21" s="517">
        <v>1.7799100000000001</v>
      </c>
      <c r="K21" s="518">
        <v>3</v>
      </c>
      <c r="L21" s="522">
        <f t="shared" si="2"/>
        <v>1.6181000000000001</v>
      </c>
      <c r="M21" s="516">
        <f t="shared" si="3"/>
        <v>2.9960195695601977</v>
      </c>
      <c r="N21" s="516">
        <f t="shared" si="4"/>
        <v>0.72878745280337398</v>
      </c>
      <c r="O21" s="516">
        <f t="shared" si="5"/>
        <v>2.7272727272727271</v>
      </c>
      <c r="P21" s="516">
        <f t="shared" si="8"/>
        <v>1.6363636363636362</v>
      </c>
      <c r="Q21" s="516">
        <f t="shared" si="9"/>
        <v>1.0909090909090908</v>
      </c>
      <c r="R21" s="523">
        <f t="shared" si="6"/>
        <v>1.1161111111110981E-2</v>
      </c>
      <c r="S21" s="547"/>
      <c r="T21" s="547"/>
      <c r="U21" s="547"/>
      <c r="V21" s="547"/>
      <c r="W21" s="547"/>
      <c r="X21" s="547"/>
      <c r="Y21" s="547"/>
      <c r="Z21" s="547"/>
      <c r="AA21" s="547"/>
      <c r="AB21" s="546"/>
      <c r="AC21" s="546"/>
      <c r="AD21" s="546"/>
      <c r="AE21" s="546"/>
      <c r="AF21" s="546"/>
      <c r="AG21" s="546"/>
      <c r="AH21" s="546"/>
      <c r="AI21" s="546"/>
      <c r="AJ21" s="546"/>
      <c r="AK21" s="546"/>
      <c r="AL21" s="546"/>
      <c r="AM21" s="546"/>
      <c r="AN21" s="546"/>
      <c r="AO21" s="546"/>
      <c r="AP21" s="546"/>
      <c r="AQ21" s="546"/>
      <c r="AR21" s="546"/>
      <c r="AS21" s="546"/>
      <c r="AT21" s="546"/>
      <c r="AU21" s="546"/>
      <c r="AV21" s="546"/>
      <c r="AW21" s="546"/>
      <c r="AX21" s="546"/>
      <c r="AY21" s="546"/>
      <c r="AZ21" s="546"/>
    </row>
    <row r="22" spans="1:52" ht="14">
      <c r="A22" s="552"/>
      <c r="B22" s="540" t="s">
        <v>520</v>
      </c>
      <c r="C22" s="525" t="s">
        <v>527</v>
      </c>
      <c r="D22" s="534" t="s">
        <v>525</v>
      </c>
      <c r="E22" s="527">
        <v>5.97</v>
      </c>
      <c r="F22" s="531">
        <f t="shared" si="13"/>
        <v>0.90909090909090906</v>
      </c>
      <c r="G22" s="531">
        <f t="shared" si="7"/>
        <v>1</v>
      </c>
      <c r="H22" s="528">
        <f t="shared" si="0"/>
        <v>65.556073148417752</v>
      </c>
      <c r="I22" s="529">
        <f t="shared" si="1"/>
        <v>5.5560731484177523</v>
      </c>
      <c r="J22" s="535">
        <v>1.972253</v>
      </c>
      <c r="K22" s="536">
        <v>4</v>
      </c>
      <c r="L22" s="531">
        <f t="shared" si="2"/>
        <v>1.7929572727272727</v>
      </c>
      <c r="M22" s="527">
        <f t="shared" si="3"/>
        <v>3.0203737466044736</v>
      </c>
      <c r="N22" s="527">
        <f t="shared" si="4"/>
        <v>-5.0599913279611997E-2</v>
      </c>
      <c r="O22" s="527">
        <f t="shared" si="5"/>
        <v>3.6363636363636362</v>
      </c>
      <c r="P22" s="527">
        <f>O22*(1/2)</f>
        <v>1.8181818181818181</v>
      </c>
      <c r="Q22" s="527">
        <f>O22*(1-(1/2))</f>
        <v>1.8181818181818181</v>
      </c>
      <c r="R22" s="533">
        <f t="shared" si="6"/>
        <v>1.3873499999999995E-2</v>
      </c>
      <c r="S22" s="547"/>
      <c r="T22" s="547"/>
      <c r="U22" s="547"/>
      <c r="V22" s="547"/>
      <c r="W22" s="547"/>
      <c r="X22" s="547"/>
      <c r="Y22" s="547"/>
      <c r="Z22" s="547"/>
      <c r="AA22" s="547"/>
      <c r="AB22" s="546"/>
      <c r="AC22" s="546"/>
      <c r="AD22" s="546"/>
      <c r="AE22" s="546"/>
      <c r="AF22" s="546"/>
      <c r="AG22" s="546"/>
      <c r="AH22" s="546"/>
      <c r="AI22" s="546"/>
      <c r="AJ22" s="546"/>
      <c r="AK22" s="546"/>
      <c r="AL22" s="546"/>
      <c r="AM22" s="546"/>
      <c r="AN22" s="546"/>
      <c r="AO22" s="546"/>
      <c r="AP22" s="546"/>
      <c r="AQ22" s="546"/>
      <c r="AR22" s="546"/>
      <c r="AS22" s="546"/>
      <c r="AT22" s="546"/>
      <c r="AU22" s="546"/>
      <c r="AV22" s="546"/>
      <c r="AW22" s="546"/>
      <c r="AX22" s="546"/>
      <c r="AY22" s="546"/>
      <c r="AZ22" s="546"/>
    </row>
    <row r="23" spans="1:52" ht="14">
      <c r="A23" s="552"/>
      <c r="B23" s="540" t="s">
        <v>520</v>
      </c>
      <c r="C23" s="525" t="s">
        <v>250</v>
      </c>
      <c r="D23" s="534">
        <v>0.63888888888888884</v>
      </c>
      <c r="E23" s="527">
        <v>6.12</v>
      </c>
      <c r="F23" s="531">
        <f t="shared" ref="F23" si="33">G23/(1+$I$2)</f>
        <v>0.90909090909090906</v>
      </c>
      <c r="G23" s="531">
        <f t="shared" si="7"/>
        <v>1</v>
      </c>
      <c r="H23" s="528">
        <f t="shared" ref="H23" si="34">E23+10*LOG(F23*10^6)</f>
        <v>65.706073148417744</v>
      </c>
      <c r="I23" s="529">
        <f t="shared" ref="I23" si="35">H23-10*LOG(G23*10^6)</f>
        <v>5.7060731484177438</v>
      </c>
      <c r="J23" s="535">
        <v>1.8961300000000001</v>
      </c>
      <c r="K23" s="536">
        <v>3</v>
      </c>
      <c r="L23" s="531">
        <f t="shared" ref="L23" si="36">F23*J23</f>
        <v>1.7237545454545455</v>
      </c>
      <c r="M23" s="527">
        <f t="shared" ref="M23" si="37">E23-10*LOG(J23)</f>
        <v>3.3413189044352558</v>
      </c>
      <c r="N23" s="527">
        <f t="shared" ref="N23" si="38">H23-10*LOG(O23*10^6)</f>
        <v>1.3487874528033785</v>
      </c>
      <c r="O23" s="527">
        <f t="shared" ref="O23" si="39">F23*K23</f>
        <v>2.7272727272727271</v>
      </c>
      <c r="P23" s="527">
        <f>O23*D23</f>
        <v>1.7424242424242422</v>
      </c>
      <c r="Q23" s="527">
        <f>O23*(1-D23)</f>
        <v>0.98484848484848486</v>
      </c>
      <c r="R23" s="533">
        <f t="shared" ref="R23" si="40">(P23-L23)/P23</f>
        <v>1.0714782608695482E-2</v>
      </c>
      <c r="S23" s="547"/>
      <c r="T23" s="547"/>
      <c r="U23" s="547"/>
      <c r="V23" s="547"/>
      <c r="W23" s="547"/>
      <c r="X23" s="547"/>
      <c r="Y23" s="547"/>
      <c r="Z23" s="547"/>
      <c r="AA23" s="547"/>
      <c r="AB23" s="546"/>
      <c r="AC23" s="546"/>
      <c r="AD23" s="546"/>
      <c r="AE23" s="546"/>
      <c r="AF23" s="546"/>
      <c r="AG23" s="546"/>
      <c r="AH23" s="546"/>
      <c r="AI23" s="546"/>
      <c r="AJ23" s="546"/>
      <c r="AK23" s="546"/>
      <c r="AL23" s="546"/>
      <c r="AM23" s="546"/>
      <c r="AN23" s="546"/>
      <c r="AO23" s="546"/>
      <c r="AP23" s="546"/>
      <c r="AQ23" s="546"/>
      <c r="AR23" s="546"/>
      <c r="AS23" s="546"/>
      <c r="AT23" s="546"/>
      <c r="AU23" s="546"/>
      <c r="AV23" s="546"/>
      <c r="AW23" s="546"/>
      <c r="AX23" s="546"/>
      <c r="AY23" s="546"/>
      <c r="AZ23" s="546"/>
    </row>
    <row r="24" spans="1:52" ht="14">
      <c r="A24" s="552"/>
      <c r="B24" s="541" t="s">
        <v>521</v>
      </c>
      <c r="C24" s="519" t="s">
        <v>249</v>
      </c>
      <c r="D24" s="520">
        <v>0.88888888888888884</v>
      </c>
      <c r="E24" s="516">
        <v>6.2</v>
      </c>
      <c r="F24" s="522">
        <f t="shared" si="13"/>
        <v>0.90909090909090906</v>
      </c>
      <c r="G24" s="522">
        <f t="shared" si="7"/>
        <v>1</v>
      </c>
      <c r="H24" s="350">
        <f t="shared" si="0"/>
        <v>65.786073148417742</v>
      </c>
      <c r="I24" s="277">
        <f t="shared" si="1"/>
        <v>5.7860731484177421</v>
      </c>
      <c r="J24" s="517">
        <v>1.766451</v>
      </c>
      <c r="K24" s="518">
        <v>2</v>
      </c>
      <c r="L24" s="522">
        <f t="shared" si="2"/>
        <v>1.6058645454545455</v>
      </c>
      <c r="M24" s="516">
        <f t="shared" si="3"/>
        <v>3.7289840505889056</v>
      </c>
      <c r="N24" s="516">
        <f t="shared" si="4"/>
        <v>3.1897000433601832</v>
      </c>
      <c r="O24" s="516">
        <f t="shared" si="5"/>
        <v>1.8181818181818181</v>
      </c>
      <c r="P24" s="516">
        <f t="shared" si="8"/>
        <v>1.6161616161616159</v>
      </c>
      <c r="Q24" s="516">
        <f t="shared" si="9"/>
        <v>0.2020202020202021</v>
      </c>
      <c r="R24" s="523">
        <f t="shared" si="6"/>
        <v>6.3713124999998242E-3</v>
      </c>
      <c r="S24" s="547"/>
      <c r="T24" s="547"/>
      <c r="U24" s="547"/>
      <c r="V24" s="547"/>
      <c r="W24" s="547"/>
      <c r="X24" s="547"/>
      <c r="Y24" s="547"/>
      <c r="Z24" s="547"/>
      <c r="AA24" s="547"/>
      <c r="AB24" s="546"/>
      <c r="AC24" s="546"/>
      <c r="AD24" s="546"/>
      <c r="AE24" s="546"/>
      <c r="AF24" s="546"/>
      <c r="AG24" s="546"/>
      <c r="AH24" s="546"/>
      <c r="AI24" s="546"/>
      <c r="AJ24" s="546"/>
      <c r="AK24" s="546"/>
      <c r="AL24" s="546"/>
      <c r="AM24" s="546"/>
      <c r="AN24" s="546"/>
      <c r="AO24" s="546"/>
      <c r="AP24" s="546"/>
      <c r="AQ24" s="546"/>
      <c r="AR24" s="546"/>
      <c r="AS24" s="546"/>
      <c r="AT24" s="546"/>
      <c r="AU24" s="546"/>
      <c r="AV24" s="546"/>
      <c r="AW24" s="546"/>
      <c r="AX24" s="546"/>
      <c r="AY24" s="546"/>
      <c r="AZ24" s="546"/>
    </row>
    <row r="25" spans="1:52" ht="14">
      <c r="A25" s="552"/>
      <c r="B25" s="541" t="s">
        <v>521</v>
      </c>
      <c r="C25" s="519" t="s">
        <v>249</v>
      </c>
      <c r="D25" s="520">
        <v>0.9</v>
      </c>
      <c r="E25" s="516">
        <v>6.42</v>
      </c>
      <c r="F25" s="522">
        <f t="shared" si="13"/>
        <v>0.90909090909090906</v>
      </c>
      <c r="G25" s="522">
        <f t="shared" si="7"/>
        <v>1</v>
      </c>
      <c r="H25" s="350">
        <f t="shared" si="0"/>
        <v>66.006073148417741</v>
      </c>
      <c r="I25" s="277">
        <f t="shared" si="1"/>
        <v>6.006073148417741</v>
      </c>
      <c r="J25" s="517">
        <v>1.7886120000000001</v>
      </c>
      <c r="K25" s="518">
        <v>2</v>
      </c>
      <c r="L25" s="522">
        <f t="shared" si="2"/>
        <v>1.6260109090909092</v>
      </c>
      <c r="M25" s="516">
        <f t="shared" si="3"/>
        <v>3.8948385984320204</v>
      </c>
      <c r="N25" s="516">
        <f t="shared" si="4"/>
        <v>3.4097000433601821</v>
      </c>
      <c r="O25" s="516">
        <f t="shared" si="5"/>
        <v>1.8181818181818181</v>
      </c>
      <c r="P25" s="516">
        <f t="shared" si="8"/>
        <v>1.6363636363636362</v>
      </c>
      <c r="Q25" s="516">
        <f t="shared" si="9"/>
        <v>0.18181818181818177</v>
      </c>
      <c r="R25" s="523">
        <f t="shared" si="6"/>
        <v>6.326666666666543E-3</v>
      </c>
      <c r="S25" s="547"/>
      <c r="T25" s="547"/>
      <c r="U25" s="547"/>
      <c r="V25" s="547"/>
      <c r="W25" s="547"/>
      <c r="X25" s="547"/>
      <c r="Y25" s="547"/>
      <c r="Z25" s="547"/>
      <c r="AA25" s="547"/>
      <c r="AB25" s="546"/>
      <c r="AC25" s="546"/>
      <c r="AD25" s="546"/>
      <c r="AE25" s="546"/>
      <c r="AF25" s="546"/>
      <c r="AG25" s="546"/>
      <c r="AH25" s="546"/>
      <c r="AI25" s="546"/>
      <c r="AJ25" s="546"/>
      <c r="AK25" s="546"/>
      <c r="AL25" s="546"/>
      <c r="AM25" s="546"/>
      <c r="AN25" s="546"/>
      <c r="AO25" s="546"/>
      <c r="AP25" s="546"/>
      <c r="AQ25" s="546"/>
      <c r="AR25" s="546"/>
      <c r="AS25" s="546"/>
      <c r="AT25" s="546"/>
      <c r="AU25" s="546"/>
      <c r="AV25" s="546"/>
      <c r="AW25" s="546"/>
      <c r="AX25" s="546"/>
      <c r="AY25" s="546"/>
      <c r="AZ25" s="546"/>
    </row>
    <row r="26" spans="1:52" ht="14">
      <c r="A26" s="552"/>
      <c r="B26" s="540" t="s">
        <v>520</v>
      </c>
      <c r="C26" s="525" t="s">
        <v>527</v>
      </c>
      <c r="D26" s="534" t="s">
        <v>526</v>
      </c>
      <c r="E26" s="527">
        <v>6.55</v>
      </c>
      <c r="F26" s="531">
        <f t="shared" ref="F26" si="41">G26/(1+$I$2)</f>
        <v>0.90909090909090906</v>
      </c>
      <c r="G26" s="531">
        <f t="shared" si="7"/>
        <v>1</v>
      </c>
      <c r="H26" s="528">
        <f t="shared" ref="H26" si="42">E26+10*LOG(F26*10^6)</f>
        <v>66.136073148417751</v>
      </c>
      <c r="I26" s="529">
        <f t="shared" ref="I26" si="43">H26-10*LOG(G26*10^6)</f>
        <v>6.1360731484177506</v>
      </c>
      <c r="J26" s="535">
        <v>2.1048499999999999</v>
      </c>
      <c r="K26" s="536">
        <v>4</v>
      </c>
      <c r="L26" s="531">
        <f t="shared" ref="L26" si="44">F26*J26</f>
        <v>1.9134999999999998</v>
      </c>
      <c r="M26" s="527">
        <f t="shared" ref="M26" si="45">E26-10*LOG(J26)</f>
        <v>3.3177884828125683</v>
      </c>
      <c r="N26" s="527">
        <f t="shared" ref="N26" si="46">H26-10*LOG(O26*10^6)</f>
        <v>0.5294000867203863</v>
      </c>
      <c r="O26" s="527">
        <f t="shared" ref="O26" si="47">F26*K26</f>
        <v>3.6363636363636362</v>
      </c>
      <c r="P26" s="527">
        <f>O26*(8/15)</f>
        <v>1.9393939393939392</v>
      </c>
      <c r="Q26" s="527">
        <f>O26*(1-(8/15))</f>
        <v>1.696969696969697</v>
      </c>
      <c r="R26" s="533">
        <f t="shared" ref="R26" si="48">(P26-L26)/P26</f>
        <v>1.335156250000004E-2</v>
      </c>
      <c r="S26" s="547"/>
      <c r="T26" s="547"/>
      <c r="U26" s="547"/>
      <c r="V26" s="547"/>
      <c r="W26" s="547"/>
      <c r="X26" s="547"/>
      <c r="Y26" s="547"/>
      <c r="Z26" s="547"/>
      <c r="AA26" s="547"/>
      <c r="AB26" s="546"/>
      <c r="AC26" s="546"/>
      <c r="AD26" s="546"/>
      <c r="AE26" s="546"/>
      <c r="AF26" s="546"/>
      <c r="AG26" s="546"/>
      <c r="AH26" s="546"/>
      <c r="AI26" s="546"/>
      <c r="AJ26" s="546"/>
      <c r="AK26" s="546"/>
      <c r="AL26" s="546"/>
      <c r="AM26" s="546"/>
      <c r="AN26" s="546"/>
      <c r="AO26" s="546"/>
      <c r="AP26" s="546"/>
      <c r="AQ26" s="546"/>
      <c r="AR26" s="546"/>
      <c r="AS26" s="546"/>
      <c r="AT26" s="546"/>
      <c r="AU26" s="546"/>
      <c r="AV26" s="546"/>
      <c r="AW26" s="546"/>
      <c r="AX26" s="546"/>
      <c r="AY26" s="546"/>
      <c r="AZ26" s="546"/>
    </row>
    <row r="27" spans="1:52" ht="14">
      <c r="A27" s="552"/>
      <c r="B27" s="541" t="s">
        <v>521</v>
      </c>
      <c r="C27" s="519" t="s">
        <v>250</v>
      </c>
      <c r="D27" s="520">
        <v>0.66666666666666663</v>
      </c>
      <c r="E27" s="516">
        <v>6.62</v>
      </c>
      <c r="F27" s="522">
        <f t="shared" si="13"/>
        <v>0.90909090909090906</v>
      </c>
      <c r="G27" s="522">
        <f t="shared" si="7"/>
        <v>1</v>
      </c>
      <c r="H27" s="350">
        <f t="shared" si="0"/>
        <v>66.206073148417744</v>
      </c>
      <c r="I27" s="277">
        <f t="shared" si="1"/>
        <v>6.2060731484177438</v>
      </c>
      <c r="J27" s="517">
        <v>1.9806360000000001</v>
      </c>
      <c r="K27" s="518">
        <v>3</v>
      </c>
      <c r="L27" s="522">
        <f t="shared" si="2"/>
        <v>1.8005781818181819</v>
      </c>
      <c r="M27" s="516">
        <f t="shared" si="3"/>
        <v>3.6519533148655956</v>
      </c>
      <c r="N27" s="516">
        <f t="shared" si="4"/>
        <v>1.8487874528033785</v>
      </c>
      <c r="O27" s="516">
        <f t="shared" si="5"/>
        <v>2.7272727272727271</v>
      </c>
      <c r="P27" s="516">
        <f t="shared" si="8"/>
        <v>1.8181818181818179</v>
      </c>
      <c r="Q27" s="516">
        <f t="shared" si="9"/>
        <v>0.90909090909090917</v>
      </c>
      <c r="R27" s="523">
        <f t="shared" si="6"/>
        <v>9.6819999999998262E-3</v>
      </c>
      <c r="S27" s="547"/>
      <c r="T27" s="547"/>
      <c r="U27" s="547"/>
      <c r="V27" s="547"/>
      <c r="W27" s="547"/>
      <c r="X27" s="547"/>
      <c r="Y27" s="547"/>
      <c r="Z27" s="547"/>
      <c r="AA27" s="547"/>
      <c r="AB27" s="546"/>
      <c r="AC27" s="546"/>
      <c r="AD27" s="546"/>
      <c r="AE27" s="546"/>
      <c r="AF27" s="546"/>
      <c r="AG27" s="546"/>
      <c r="AH27" s="546"/>
      <c r="AI27" s="546"/>
      <c r="AJ27" s="546"/>
      <c r="AK27" s="546"/>
      <c r="AL27" s="546"/>
      <c r="AM27" s="546"/>
      <c r="AN27" s="546"/>
      <c r="AO27" s="546"/>
      <c r="AP27" s="546"/>
      <c r="AQ27" s="546"/>
      <c r="AR27" s="546"/>
      <c r="AS27" s="546"/>
      <c r="AT27" s="546"/>
      <c r="AU27" s="546"/>
      <c r="AV27" s="546"/>
      <c r="AW27" s="546"/>
      <c r="AX27" s="546"/>
      <c r="AY27" s="546"/>
      <c r="AZ27" s="546"/>
    </row>
    <row r="28" spans="1:52" ht="14">
      <c r="A28" s="551" t="s">
        <v>3</v>
      </c>
      <c r="B28" s="540" t="s">
        <v>520</v>
      </c>
      <c r="C28" s="525" t="s">
        <v>251</v>
      </c>
      <c r="D28" s="534" t="s">
        <v>523</v>
      </c>
      <c r="E28" s="527">
        <v>6.84</v>
      </c>
      <c r="F28" s="531">
        <f t="shared" ref="F28" si="49">G28/(1+$I$2)</f>
        <v>0.90909090909090906</v>
      </c>
      <c r="G28" s="531">
        <f t="shared" si="7"/>
        <v>1</v>
      </c>
      <c r="H28" s="528">
        <f t="shared" ref="H28" si="50">E28+10*LOG(F28*10^6)</f>
        <v>66.426073148417743</v>
      </c>
      <c r="I28" s="529">
        <f t="shared" ref="I28" si="51">H28-10*LOG(G28*10^6)</f>
        <v>6.4260731484177427</v>
      </c>
      <c r="J28" s="535">
        <v>2.1932469999999999</v>
      </c>
      <c r="K28" s="536">
        <v>4</v>
      </c>
      <c r="L28" s="531">
        <f t="shared" ref="L28" si="52">F28*J28</f>
        <v>1.993860909090909</v>
      </c>
      <c r="M28" s="527">
        <f t="shared" ref="M28" si="53">E28-10*LOG(J28)</f>
        <v>3.4291245601218385</v>
      </c>
      <c r="N28" s="527">
        <f t="shared" ref="N28" si="54">H28-10*LOG(O28*10^6)</f>
        <v>0.81940008672037834</v>
      </c>
      <c r="O28" s="527">
        <f t="shared" ref="O28" si="55">F28*K28</f>
        <v>3.6363636363636362</v>
      </c>
      <c r="P28" s="527">
        <f>O28*(5/9)</f>
        <v>2.0202020202020203</v>
      </c>
      <c r="Q28" s="527">
        <f>O28*(1-(5/9))</f>
        <v>1.6161616161616159</v>
      </c>
      <c r="R28" s="533">
        <f t="shared" ref="R28" si="56">(P28-L28)/P28</f>
        <v>1.3038850000000128E-2</v>
      </c>
      <c r="S28" s="547"/>
      <c r="T28" s="547"/>
      <c r="U28" s="547"/>
      <c r="V28" s="547"/>
      <c r="W28" s="547"/>
      <c r="X28" s="547"/>
      <c r="Y28" s="547"/>
      <c r="Z28" s="547"/>
      <c r="AA28" s="547"/>
      <c r="AB28" s="546"/>
      <c r="AC28" s="546"/>
      <c r="AD28" s="546"/>
      <c r="AE28" s="546"/>
      <c r="AF28" s="546"/>
      <c r="AG28" s="546"/>
      <c r="AH28" s="546"/>
      <c r="AI28" s="546"/>
      <c r="AJ28" s="546"/>
      <c r="AK28" s="546"/>
      <c r="AL28" s="546"/>
      <c r="AM28" s="546"/>
      <c r="AN28" s="546"/>
      <c r="AO28" s="546"/>
      <c r="AP28" s="546"/>
      <c r="AQ28" s="546"/>
      <c r="AR28" s="546"/>
      <c r="AS28" s="546"/>
      <c r="AT28" s="546"/>
      <c r="AU28" s="546"/>
      <c r="AV28" s="546"/>
      <c r="AW28" s="546"/>
      <c r="AX28" s="546"/>
      <c r="AY28" s="546"/>
      <c r="AZ28" s="546"/>
    </row>
    <row r="29" spans="1:52" ht="14">
      <c r="A29" s="552"/>
      <c r="B29" s="540" t="s">
        <v>520</v>
      </c>
      <c r="C29" s="525" t="s">
        <v>250</v>
      </c>
      <c r="D29" s="534">
        <v>0.69444444444444442</v>
      </c>
      <c r="E29" s="527">
        <v>7.02</v>
      </c>
      <c r="F29" s="531">
        <f t="shared" ref="F29" si="57">G29/(1+$I$2)</f>
        <v>0.90909090909090906</v>
      </c>
      <c r="G29" s="531">
        <f t="shared" si="7"/>
        <v>1</v>
      </c>
      <c r="H29" s="528">
        <f t="shared" ref="H29" si="58">E29+10*LOG(F29*10^6)</f>
        <v>66.60607314841775</v>
      </c>
      <c r="I29" s="529">
        <f t="shared" ref="I29" si="59">H29-10*LOG(G29*10^6)</f>
        <v>6.6060731484177495</v>
      </c>
      <c r="J29" s="535">
        <v>2.0621480000000001</v>
      </c>
      <c r="K29" s="536">
        <v>3</v>
      </c>
      <c r="L29" s="531">
        <f t="shared" ref="L29" si="60">F29*J29</f>
        <v>1.8746800000000001</v>
      </c>
      <c r="M29" s="527">
        <f t="shared" ref="M29" si="61">E29-10*LOG(J29)</f>
        <v>3.8768016869520694</v>
      </c>
      <c r="N29" s="527">
        <f t="shared" ref="N29" si="62">H29-10*LOG(O29*10^6)</f>
        <v>2.2487874528033842</v>
      </c>
      <c r="O29" s="527">
        <f t="shared" ref="O29" si="63">F29*K29</f>
        <v>2.7272727272727271</v>
      </c>
      <c r="P29" s="527">
        <f>O29*D29</f>
        <v>1.8939393939393938</v>
      </c>
      <c r="Q29" s="527">
        <f>O29*(1-(25/36))</f>
        <v>0.83333333333333337</v>
      </c>
      <c r="R29" s="533">
        <f t="shared" ref="R29" si="64">(P29-L29)/P29</f>
        <v>1.0168959999999868E-2</v>
      </c>
      <c r="S29" s="547"/>
      <c r="T29" s="547"/>
      <c r="U29" s="547"/>
      <c r="V29" s="547"/>
      <c r="W29" s="547"/>
      <c r="X29" s="547"/>
      <c r="Y29" s="547"/>
      <c r="Z29" s="547"/>
      <c r="AA29" s="547"/>
      <c r="AB29" s="546"/>
      <c r="AC29" s="546"/>
      <c r="AD29" s="546"/>
      <c r="AE29" s="546"/>
      <c r="AF29" s="546"/>
      <c r="AG29" s="546"/>
      <c r="AH29" s="546"/>
      <c r="AI29" s="546"/>
      <c r="AJ29" s="546"/>
      <c r="AK29" s="546"/>
      <c r="AL29" s="546"/>
      <c r="AM29" s="546"/>
      <c r="AN29" s="546"/>
      <c r="AO29" s="546"/>
      <c r="AP29" s="546"/>
      <c r="AQ29" s="546"/>
      <c r="AR29" s="546"/>
      <c r="AS29" s="546"/>
      <c r="AT29" s="546"/>
      <c r="AU29" s="546"/>
      <c r="AV29" s="546"/>
      <c r="AW29" s="546"/>
      <c r="AX29" s="546"/>
      <c r="AY29" s="546"/>
      <c r="AZ29" s="546"/>
    </row>
    <row r="30" spans="1:52" ht="14">
      <c r="A30" s="552"/>
      <c r="B30" s="540" t="s">
        <v>520</v>
      </c>
      <c r="C30" s="525" t="s">
        <v>251</v>
      </c>
      <c r="D30" s="534" t="s">
        <v>528</v>
      </c>
      <c r="E30" s="527">
        <v>7.41</v>
      </c>
      <c r="F30" s="531">
        <f t="shared" ref="F30" si="65">G30/(1+$I$2)</f>
        <v>0.90909090909090906</v>
      </c>
      <c r="G30" s="531">
        <f t="shared" si="7"/>
        <v>1</v>
      </c>
      <c r="H30" s="528">
        <f t="shared" ref="H30" si="66">E30+10*LOG(F30*10^6)</f>
        <v>66.99607314841775</v>
      </c>
      <c r="I30" s="529">
        <f t="shared" ref="I30" si="67">H30-10*LOG(G30*10^6)</f>
        <v>6.9960731484177501</v>
      </c>
      <c r="J30" s="535">
        <v>2.3700429999999999</v>
      </c>
      <c r="K30" s="536">
        <v>4</v>
      </c>
      <c r="L30" s="531">
        <f t="shared" ref="L30" si="68">F30*J30</f>
        <v>2.1545845454545454</v>
      </c>
      <c r="M30" s="527">
        <f t="shared" ref="M30" si="69">E30-10*LOG(J30)</f>
        <v>3.6624377445685301</v>
      </c>
      <c r="N30" s="527">
        <f t="shared" ref="N30" si="70">H30-10*LOG(O30*10^6)</f>
        <v>1.3894000867203857</v>
      </c>
      <c r="O30" s="527">
        <f t="shared" ref="O30" si="71">F30*K30</f>
        <v>3.6363636363636362</v>
      </c>
      <c r="P30" s="527">
        <f>O30*(3/5)</f>
        <v>2.1818181818181817</v>
      </c>
      <c r="Q30" s="527">
        <f>O30*(1-(3/5))</f>
        <v>1.4545454545454546</v>
      </c>
      <c r="R30" s="533">
        <f t="shared" ref="R30" si="72">(P30-L30)/P30</f>
        <v>1.2482083333333302E-2</v>
      </c>
      <c r="S30" s="547"/>
      <c r="T30" s="547"/>
      <c r="U30" s="547"/>
      <c r="V30" s="547"/>
      <c r="W30" s="547"/>
      <c r="X30" s="547"/>
      <c r="Y30" s="547"/>
      <c r="Z30" s="547"/>
      <c r="AA30" s="547"/>
      <c r="AB30" s="546"/>
      <c r="AC30" s="546"/>
      <c r="AD30" s="546"/>
      <c r="AE30" s="546"/>
      <c r="AF30" s="546"/>
      <c r="AG30" s="546"/>
      <c r="AH30" s="546"/>
      <c r="AI30" s="546"/>
      <c r="AJ30" s="546"/>
      <c r="AK30" s="546"/>
      <c r="AL30" s="546"/>
      <c r="AM30" s="546"/>
      <c r="AN30" s="546"/>
      <c r="AO30" s="546"/>
      <c r="AP30" s="546"/>
      <c r="AQ30" s="546"/>
      <c r="AR30" s="546"/>
      <c r="AS30" s="546"/>
      <c r="AT30" s="546"/>
      <c r="AU30" s="546"/>
      <c r="AV30" s="546"/>
      <c r="AW30" s="546"/>
      <c r="AX30" s="546"/>
      <c r="AY30" s="546"/>
      <c r="AZ30" s="546"/>
    </row>
    <row r="31" spans="1:52" ht="14">
      <c r="A31" s="552"/>
      <c r="B31" s="540" t="s">
        <v>520</v>
      </c>
      <c r="C31" s="525" t="s">
        <v>250</v>
      </c>
      <c r="D31" s="534">
        <v>0.72222222222222221</v>
      </c>
      <c r="E31" s="527">
        <v>7.49</v>
      </c>
      <c r="F31" s="531">
        <f t="shared" ref="F31:F32" si="73">G31/(1+$I$2)</f>
        <v>0.90909090909090906</v>
      </c>
      <c r="G31" s="531">
        <f t="shared" si="7"/>
        <v>1</v>
      </c>
      <c r="H31" s="528">
        <f t="shared" ref="H31:H32" si="74">E31+10*LOG(F31*10^6)</f>
        <v>67.076073148417748</v>
      </c>
      <c r="I31" s="529">
        <f t="shared" ref="I31:I32" si="75">H31-10*LOG(G31*10^6)</f>
        <v>7.0760731484177484</v>
      </c>
      <c r="J31" s="535">
        <v>2.1451359999999999</v>
      </c>
      <c r="K31" s="536">
        <v>3</v>
      </c>
      <c r="L31" s="531">
        <f t="shared" ref="L31:L32" si="76">F31*J31</f>
        <v>1.9501236363636363</v>
      </c>
      <c r="M31" s="527">
        <f t="shared" ref="M31:M32" si="77">E31-10*LOG(J31)</f>
        <v>4.1754516866471558</v>
      </c>
      <c r="N31" s="527">
        <f t="shared" ref="N31:N32" si="78">H31-10*LOG(O31*10^6)</f>
        <v>2.7187874528033831</v>
      </c>
      <c r="O31" s="527">
        <f t="shared" ref="O31:O32" si="79">F31*K31</f>
        <v>2.7272727272727271</v>
      </c>
      <c r="P31" s="527">
        <f>O31*D31</f>
        <v>1.9696969696969695</v>
      </c>
      <c r="Q31" s="527">
        <f>O31*(1-D31)</f>
        <v>0.75757575757575757</v>
      </c>
      <c r="R31" s="533">
        <f t="shared" ref="R31:R32" si="80">(P31-L31)/P31</f>
        <v>9.9372307692307121E-3</v>
      </c>
      <c r="S31" s="547"/>
      <c r="T31" s="547"/>
      <c r="U31" s="547"/>
      <c r="V31" s="547"/>
      <c r="W31" s="547"/>
      <c r="X31" s="547"/>
      <c r="Y31" s="547"/>
      <c r="Z31" s="547"/>
      <c r="AA31" s="547"/>
      <c r="AB31" s="546"/>
      <c r="AC31" s="546"/>
      <c r="AD31" s="546"/>
      <c r="AE31" s="546"/>
      <c r="AF31" s="546"/>
      <c r="AG31" s="546"/>
      <c r="AH31" s="546"/>
      <c r="AI31" s="546"/>
      <c r="AJ31" s="546"/>
      <c r="AK31" s="546"/>
      <c r="AL31" s="546"/>
      <c r="AM31" s="546"/>
      <c r="AN31" s="546"/>
      <c r="AO31" s="546"/>
      <c r="AP31" s="546"/>
      <c r="AQ31" s="546"/>
      <c r="AR31" s="546"/>
      <c r="AS31" s="546"/>
      <c r="AT31" s="546"/>
      <c r="AU31" s="546"/>
      <c r="AV31" s="546"/>
      <c r="AW31" s="546"/>
      <c r="AX31" s="546"/>
      <c r="AY31" s="546"/>
      <c r="AZ31" s="546"/>
    </row>
    <row r="32" spans="1:52" ht="14">
      <c r="A32" s="552"/>
      <c r="B32" s="540" t="s">
        <v>520</v>
      </c>
      <c r="C32" s="525" t="s">
        <v>527</v>
      </c>
      <c r="D32" s="534">
        <v>0.57777777777777772</v>
      </c>
      <c r="E32" s="527">
        <v>7.51</v>
      </c>
      <c r="F32" s="531">
        <f t="shared" si="73"/>
        <v>0.90909090909090906</v>
      </c>
      <c r="G32" s="531">
        <f t="shared" si="7"/>
        <v>1</v>
      </c>
      <c r="H32" s="528">
        <f t="shared" si="74"/>
        <v>67.096073148417744</v>
      </c>
      <c r="I32" s="529">
        <f t="shared" si="75"/>
        <v>7.0960731484177444</v>
      </c>
      <c r="J32" s="535">
        <v>2.2816450000000001</v>
      </c>
      <c r="K32" s="536">
        <v>4</v>
      </c>
      <c r="L32" s="531">
        <f t="shared" si="76"/>
        <v>2.0742227272727272</v>
      </c>
      <c r="M32" s="527">
        <f t="shared" si="77"/>
        <v>3.9275192632202121</v>
      </c>
      <c r="N32" s="527">
        <f t="shared" si="78"/>
        <v>1.48940008672038</v>
      </c>
      <c r="O32" s="527">
        <f t="shared" si="79"/>
        <v>3.6363636363636362</v>
      </c>
      <c r="P32" s="527">
        <f>O32*D32</f>
        <v>2.1010101010101008</v>
      </c>
      <c r="Q32" s="527">
        <f>O32*(1-D32)</f>
        <v>1.5353535353535355</v>
      </c>
      <c r="R32" s="533">
        <f t="shared" si="80"/>
        <v>1.2749759615384557E-2</v>
      </c>
      <c r="S32" s="547"/>
      <c r="T32" s="547"/>
      <c r="U32" s="547"/>
      <c r="V32" s="547"/>
      <c r="W32" s="547"/>
      <c r="X32" s="547"/>
      <c r="Y32" s="547"/>
      <c r="Z32" s="547"/>
      <c r="AA32" s="547"/>
      <c r="AB32" s="546"/>
      <c r="AC32" s="546"/>
      <c r="AD32" s="546"/>
      <c r="AE32" s="546"/>
      <c r="AF32" s="546"/>
      <c r="AG32" s="546"/>
      <c r="AH32" s="546"/>
      <c r="AI32" s="546"/>
      <c r="AJ32" s="546"/>
      <c r="AK32" s="546"/>
      <c r="AL32" s="546"/>
      <c r="AM32" s="546"/>
      <c r="AN32" s="546"/>
      <c r="AO32" s="546"/>
      <c r="AP32" s="546"/>
      <c r="AQ32" s="546"/>
      <c r="AR32" s="546"/>
      <c r="AS32" s="546"/>
      <c r="AT32" s="546"/>
      <c r="AU32" s="546"/>
      <c r="AV32" s="546"/>
      <c r="AW32" s="546"/>
      <c r="AX32" s="546"/>
      <c r="AY32" s="546"/>
      <c r="AZ32" s="546"/>
    </row>
    <row r="33" spans="1:52" ht="14">
      <c r="A33" s="551" t="s">
        <v>3</v>
      </c>
      <c r="B33" s="540" t="s">
        <v>520</v>
      </c>
      <c r="C33" s="525" t="s">
        <v>527</v>
      </c>
      <c r="D33" s="534">
        <v>0.6</v>
      </c>
      <c r="E33" s="527">
        <v>7.8</v>
      </c>
      <c r="F33" s="531">
        <f t="shared" ref="F33" si="81">G33/(1+$I$2)</f>
        <v>0.90909090909090906</v>
      </c>
      <c r="G33" s="531">
        <f t="shared" si="7"/>
        <v>1</v>
      </c>
      <c r="H33" s="528">
        <f t="shared" ref="H33" si="82">E33+10*LOG(F33*10^6)</f>
        <v>67.386073148417751</v>
      </c>
      <c r="I33" s="529">
        <f t="shared" ref="I33" si="83">H33-10*LOG(G33*10^6)</f>
        <v>7.3860731484177506</v>
      </c>
      <c r="J33" s="535">
        <v>2.3700429999999999</v>
      </c>
      <c r="K33" s="536">
        <v>4</v>
      </c>
      <c r="L33" s="531">
        <f t="shared" ref="L33" si="84">F33*J33</f>
        <v>2.1545845454545454</v>
      </c>
      <c r="M33" s="527">
        <f t="shared" ref="M33" si="85">E33-10*LOG(J33)</f>
        <v>4.0524377445685298</v>
      </c>
      <c r="N33" s="527">
        <f t="shared" ref="N33" si="86">H33-10*LOG(O33*10^6)</f>
        <v>1.7794000867203863</v>
      </c>
      <c r="O33" s="527">
        <f t="shared" ref="O33" si="87">F33*K33</f>
        <v>3.6363636363636362</v>
      </c>
      <c r="P33" s="527">
        <f>O33*D33</f>
        <v>2.1818181818181817</v>
      </c>
      <c r="Q33" s="527">
        <f>O33*(1-D33)</f>
        <v>1.4545454545454546</v>
      </c>
      <c r="R33" s="533">
        <f t="shared" ref="R33" si="88">(P33-L33)/P33</f>
        <v>1.2482083333333302E-2</v>
      </c>
      <c r="S33" s="547"/>
      <c r="T33" s="547"/>
      <c r="U33" s="547"/>
      <c r="V33" s="547"/>
      <c r="W33" s="547"/>
      <c r="X33" s="547"/>
      <c r="Y33" s="547"/>
      <c r="Z33" s="547"/>
      <c r="AA33" s="547"/>
      <c r="AB33" s="546"/>
      <c r="AC33" s="546"/>
      <c r="AD33" s="546"/>
      <c r="AE33" s="546"/>
      <c r="AF33" s="546"/>
      <c r="AG33" s="546"/>
      <c r="AH33" s="546"/>
      <c r="AI33" s="546"/>
      <c r="AJ33" s="546"/>
      <c r="AK33" s="546"/>
      <c r="AL33" s="546"/>
      <c r="AM33" s="546"/>
      <c r="AN33" s="546"/>
      <c r="AO33" s="546"/>
      <c r="AP33" s="546"/>
      <c r="AQ33" s="546"/>
      <c r="AR33" s="546"/>
      <c r="AS33" s="546"/>
      <c r="AT33" s="546"/>
      <c r="AU33" s="546"/>
      <c r="AV33" s="546"/>
      <c r="AW33" s="546"/>
      <c r="AX33" s="546"/>
      <c r="AY33" s="546"/>
      <c r="AZ33" s="546"/>
    </row>
    <row r="34" spans="1:52" ht="14">
      <c r="A34" s="552"/>
      <c r="B34" s="541" t="s">
        <v>521</v>
      </c>
      <c r="C34" s="519" t="s">
        <v>250</v>
      </c>
      <c r="D34" s="520">
        <v>0.75</v>
      </c>
      <c r="E34" s="516">
        <v>7.91</v>
      </c>
      <c r="F34" s="522">
        <f t="shared" si="13"/>
        <v>0.90909090909090906</v>
      </c>
      <c r="G34" s="522">
        <f t="shared" si="7"/>
        <v>1</v>
      </c>
      <c r="H34" s="350">
        <f t="shared" si="0"/>
        <v>67.49607314841775</v>
      </c>
      <c r="I34" s="277">
        <f t="shared" si="1"/>
        <v>7.4960731484177501</v>
      </c>
      <c r="J34" s="517">
        <v>2.2281240000000002</v>
      </c>
      <c r="K34" s="518">
        <v>3</v>
      </c>
      <c r="L34" s="522">
        <f t="shared" si="2"/>
        <v>2.0255672727272729</v>
      </c>
      <c r="M34" s="516">
        <f t="shared" si="3"/>
        <v>4.4306064338285864</v>
      </c>
      <c r="N34" s="516">
        <f t="shared" si="4"/>
        <v>3.1387874528033848</v>
      </c>
      <c r="O34" s="516">
        <f t="shared" si="5"/>
        <v>2.7272727272727271</v>
      </c>
      <c r="P34" s="516">
        <f t="shared" si="8"/>
        <v>2.0454545454545454</v>
      </c>
      <c r="Q34" s="516">
        <f t="shared" si="9"/>
        <v>0.68181818181818177</v>
      </c>
      <c r="R34" s="523">
        <f t="shared" si="6"/>
        <v>9.7226666666665705E-3</v>
      </c>
      <c r="S34" s="547"/>
      <c r="T34" s="547"/>
      <c r="U34" s="547"/>
      <c r="V34" s="547"/>
      <c r="W34" s="547"/>
      <c r="X34" s="547"/>
      <c r="Y34" s="547"/>
      <c r="Z34" s="547"/>
      <c r="AA34" s="547"/>
      <c r="AB34" s="546"/>
      <c r="AC34" s="546"/>
      <c r="AD34" s="546"/>
      <c r="AE34" s="546"/>
      <c r="AF34" s="546"/>
      <c r="AG34" s="546"/>
      <c r="AH34" s="546"/>
      <c r="AI34" s="546"/>
      <c r="AJ34" s="546"/>
      <c r="AK34" s="546"/>
      <c r="AL34" s="546"/>
      <c r="AM34" s="546"/>
      <c r="AN34" s="546"/>
      <c r="AO34" s="546"/>
      <c r="AP34" s="546"/>
      <c r="AQ34" s="546"/>
      <c r="AR34" s="546"/>
      <c r="AS34" s="546"/>
      <c r="AT34" s="546"/>
      <c r="AU34" s="546"/>
      <c r="AV34" s="546"/>
      <c r="AW34" s="546"/>
      <c r="AX34" s="546"/>
      <c r="AY34" s="546"/>
      <c r="AZ34" s="546"/>
    </row>
    <row r="35" spans="1:52" ht="14">
      <c r="A35" s="552"/>
      <c r="B35" s="540" t="s">
        <v>520</v>
      </c>
      <c r="C35" s="525" t="s">
        <v>251</v>
      </c>
      <c r="D35" s="534">
        <v>0.62222222222222223</v>
      </c>
      <c r="E35" s="527">
        <v>8.1</v>
      </c>
      <c r="F35" s="531">
        <f t="shared" ref="F35" si="89">G35/(1+$I$2)</f>
        <v>0.90909090909090906</v>
      </c>
      <c r="G35" s="531">
        <f t="shared" si="7"/>
        <v>1</v>
      </c>
      <c r="H35" s="528">
        <f t="shared" ref="H35" si="90">E35+10*LOG(F35*10^6)</f>
        <v>67.686073148417748</v>
      </c>
      <c r="I35" s="529">
        <f t="shared" ref="I35" si="91">H35-10*LOG(G35*10^6)</f>
        <v>7.6860731484177478</v>
      </c>
      <c r="J35" s="535">
        <v>2.4584410000000001</v>
      </c>
      <c r="K35" s="536">
        <v>4</v>
      </c>
      <c r="L35" s="531">
        <f t="shared" ref="L35" si="92">F35*J35</f>
        <v>2.2349463636363636</v>
      </c>
      <c r="M35" s="527">
        <f t="shared" ref="M35" si="93">E35-10*LOG(J35)</f>
        <v>4.1934020985984635</v>
      </c>
      <c r="N35" s="527">
        <f t="shared" ref="N35" si="94">H35-10*LOG(O35*10^6)</f>
        <v>2.0794000867203835</v>
      </c>
      <c r="O35" s="527">
        <f t="shared" ref="O35" si="95">F35*K35</f>
        <v>3.6363636363636362</v>
      </c>
      <c r="P35" s="527">
        <f>O35*D35</f>
        <v>2.2626262626262625</v>
      </c>
      <c r="Q35" s="527">
        <f>O35*(1-D35)</f>
        <v>1.3737373737373737</v>
      </c>
      <c r="R35" s="533">
        <f t="shared" ref="R35" si="96">(P35-L35)/P35</f>
        <v>1.223352678571428E-2</v>
      </c>
      <c r="S35" s="547"/>
      <c r="T35" s="547"/>
      <c r="U35" s="547"/>
      <c r="V35" s="547"/>
      <c r="W35" s="547"/>
      <c r="X35" s="547"/>
      <c r="Y35" s="547"/>
      <c r="Z35" s="547"/>
      <c r="AA35" s="547"/>
      <c r="AB35" s="546"/>
      <c r="AC35" s="546"/>
      <c r="AD35" s="546"/>
      <c r="AE35" s="546"/>
      <c r="AF35" s="546"/>
      <c r="AG35" s="546"/>
      <c r="AH35" s="546"/>
      <c r="AI35" s="546"/>
      <c r="AJ35" s="546"/>
      <c r="AK35" s="546"/>
      <c r="AL35" s="546"/>
      <c r="AM35" s="546"/>
      <c r="AN35" s="546"/>
      <c r="AO35" s="546"/>
      <c r="AP35" s="546"/>
      <c r="AQ35" s="546"/>
      <c r="AR35" s="546"/>
      <c r="AS35" s="546"/>
      <c r="AT35" s="546"/>
      <c r="AU35" s="546"/>
      <c r="AV35" s="546"/>
      <c r="AW35" s="546"/>
      <c r="AX35" s="546"/>
      <c r="AY35" s="546"/>
      <c r="AZ35" s="546"/>
    </row>
    <row r="36" spans="1:52" ht="14">
      <c r="A36" s="552"/>
      <c r="B36" s="540" t="s">
        <v>520</v>
      </c>
      <c r="C36" s="525" t="s">
        <v>251</v>
      </c>
      <c r="D36" s="534">
        <v>0.63888888888888884</v>
      </c>
      <c r="E36" s="527">
        <v>8.3800000000000008</v>
      </c>
      <c r="F36" s="531">
        <f t="shared" ref="F36" si="97">G36/(1+$I$2)</f>
        <v>0.90909090909090906</v>
      </c>
      <c r="G36" s="531">
        <f t="shared" si="7"/>
        <v>1</v>
      </c>
      <c r="H36" s="528">
        <f t="shared" ref="H36" si="98">E36+10*LOG(F36*10^6)</f>
        <v>67.966073148417749</v>
      </c>
      <c r="I36" s="529">
        <f t="shared" ref="I36" si="99">H36-10*LOG(G36*10^6)</f>
        <v>7.9660731484177489</v>
      </c>
      <c r="J36" s="535">
        <v>2.5247389999999998</v>
      </c>
      <c r="K36" s="536">
        <v>4</v>
      </c>
      <c r="L36" s="531">
        <f t="shared" ref="L36:L37" si="100">F36*J36</f>
        <v>2.2952172727272724</v>
      </c>
      <c r="M36" s="527">
        <f t="shared" ref="M36:M37" si="101">E36-10*LOG(J36)</f>
        <v>4.357835112952257</v>
      </c>
      <c r="N36" s="527">
        <f t="shared" ref="N36:N37" si="102">H36-10*LOG(O36*10^6)</f>
        <v>2.3594000867203846</v>
      </c>
      <c r="O36" s="527">
        <f t="shared" ref="O36:O37" si="103">F36*K36</f>
        <v>3.6363636363636362</v>
      </c>
      <c r="P36" s="527">
        <f>O36*D36</f>
        <v>2.3232323232323231</v>
      </c>
      <c r="Q36" s="527">
        <f>O36*(1-D36)</f>
        <v>1.3131313131313134</v>
      </c>
      <c r="R36" s="533">
        <f t="shared" ref="R36:R37" si="104">(P36-L36)/P36</f>
        <v>1.2058652173913132E-2</v>
      </c>
      <c r="S36" s="547"/>
      <c r="T36" s="547"/>
      <c r="U36" s="547"/>
      <c r="V36" s="547"/>
      <c r="W36" s="547"/>
      <c r="X36" s="547"/>
      <c r="Y36" s="547"/>
      <c r="Z36" s="547"/>
      <c r="AA36" s="547"/>
      <c r="AB36" s="546"/>
      <c r="AC36" s="546"/>
      <c r="AD36" s="546"/>
      <c r="AE36" s="546"/>
      <c r="AF36" s="546"/>
      <c r="AG36" s="546"/>
      <c r="AH36" s="546"/>
      <c r="AI36" s="546"/>
      <c r="AJ36" s="546"/>
      <c r="AK36" s="546"/>
      <c r="AL36" s="546"/>
      <c r="AM36" s="546"/>
      <c r="AN36" s="546"/>
      <c r="AO36" s="546"/>
      <c r="AP36" s="546"/>
      <c r="AQ36" s="546"/>
      <c r="AR36" s="546"/>
      <c r="AS36" s="546"/>
      <c r="AT36" s="546"/>
      <c r="AU36" s="546"/>
      <c r="AV36" s="546"/>
      <c r="AW36" s="546"/>
      <c r="AX36" s="546"/>
      <c r="AY36" s="546"/>
      <c r="AZ36" s="546"/>
    </row>
    <row r="37" spans="1:52" ht="14">
      <c r="A37" s="551" t="s">
        <v>3</v>
      </c>
      <c r="B37" s="540" t="s">
        <v>520</v>
      </c>
      <c r="C37" s="525" t="s">
        <v>251</v>
      </c>
      <c r="D37" s="534" t="s">
        <v>529</v>
      </c>
      <c r="E37" s="527">
        <v>8.43</v>
      </c>
      <c r="F37" s="531">
        <f t="shared" ref="F37" si="105">G37/(1+$I$2)</f>
        <v>0.90909090909090906</v>
      </c>
      <c r="G37" s="531">
        <f t="shared" si="7"/>
        <v>1</v>
      </c>
      <c r="H37" s="528">
        <f t="shared" ref="H37" si="106">E37+10*LOG(F37*10^6)</f>
        <v>68.016073148417746</v>
      </c>
      <c r="I37" s="529">
        <f t="shared" ref="I37" si="107">H37-10*LOG(G37*10^6)</f>
        <v>8.0160731484177461</v>
      </c>
      <c r="J37" s="535">
        <v>2.6352359999999999</v>
      </c>
      <c r="K37" s="536">
        <v>4</v>
      </c>
      <c r="L37" s="531">
        <f t="shared" si="100"/>
        <v>2.3956690909090907</v>
      </c>
      <c r="M37" s="527">
        <f t="shared" si="101"/>
        <v>4.2218048523012088</v>
      </c>
      <c r="N37" s="527">
        <f t="shared" si="102"/>
        <v>2.4094000867203818</v>
      </c>
      <c r="O37" s="527">
        <f t="shared" si="103"/>
        <v>3.6363636363636362</v>
      </c>
      <c r="P37" s="527">
        <f>O37*(2/3)</f>
        <v>2.4242424242424239</v>
      </c>
      <c r="Q37" s="527">
        <f>O37*(1-(2/3))</f>
        <v>1.2121212121212122</v>
      </c>
      <c r="R37" s="533">
        <f t="shared" si="104"/>
        <v>1.1786499999999913E-2</v>
      </c>
      <c r="S37" s="547"/>
      <c r="T37" s="547"/>
      <c r="U37" s="547"/>
      <c r="V37" s="547"/>
      <c r="W37" s="547"/>
      <c r="X37" s="547"/>
      <c r="Y37" s="547"/>
      <c r="Z37" s="547"/>
      <c r="AA37" s="547"/>
      <c r="AB37" s="546"/>
      <c r="AC37" s="546"/>
      <c r="AD37" s="546"/>
      <c r="AE37" s="546"/>
      <c r="AF37" s="546"/>
      <c r="AG37" s="546"/>
      <c r="AH37" s="546"/>
      <c r="AI37" s="546"/>
      <c r="AJ37" s="546"/>
      <c r="AK37" s="546"/>
      <c r="AL37" s="546"/>
      <c r="AM37" s="546"/>
      <c r="AN37" s="546"/>
      <c r="AO37" s="546"/>
      <c r="AP37" s="546"/>
      <c r="AQ37" s="546"/>
      <c r="AR37" s="546"/>
      <c r="AS37" s="546"/>
      <c r="AT37" s="546"/>
      <c r="AU37" s="546"/>
      <c r="AV37" s="546"/>
      <c r="AW37" s="546"/>
      <c r="AX37" s="546"/>
      <c r="AY37" s="546"/>
      <c r="AZ37" s="546"/>
    </row>
    <row r="38" spans="1:52" ht="14">
      <c r="A38" s="552"/>
      <c r="B38" s="541" t="s">
        <v>521</v>
      </c>
      <c r="C38" s="519" t="s">
        <v>251</v>
      </c>
      <c r="D38" s="520">
        <v>0.66666666666666663</v>
      </c>
      <c r="E38" s="516">
        <v>8.9700000000000006</v>
      </c>
      <c r="F38" s="522">
        <f t="shared" si="13"/>
        <v>0.90909090909090906</v>
      </c>
      <c r="G38" s="522">
        <f t="shared" si="7"/>
        <v>1</v>
      </c>
      <c r="H38" s="350">
        <f t="shared" si="0"/>
        <v>68.556073148417752</v>
      </c>
      <c r="I38" s="277">
        <f t="shared" si="1"/>
        <v>8.5560731484177523</v>
      </c>
      <c r="J38" s="517">
        <v>2.6372010000000001</v>
      </c>
      <c r="K38" s="518">
        <v>4</v>
      </c>
      <c r="L38" s="522">
        <f t="shared" si="2"/>
        <v>2.3974554545454545</v>
      </c>
      <c r="M38" s="516">
        <f t="shared" si="3"/>
        <v>4.758567682482199</v>
      </c>
      <c r="N38" s="516">
        <f t="shared" si="4"/>
        <v>2.949400086720388</v>
      </c>
      <c r="O38" s="516">
        <f t="shared" si="5"/>
        <v>3.6363636363636362</v>
      </c>
      <c r="P38" s="516">
        <f t="shared" si="8"/>
        <v>2.4242424242424239</v>
      </c>
      <c r="Q38" s="516">
        <f>O38*(1-D38)</f>
        <v>1.2121212121212122</v>
      </c>
      <c r="R38" s="524">
        <f t="shared" si="6"/>
        <v>1.1049624999999865E-2</v>
      </c>
      <c r="S38" s="547"/>
      <c r="T38" s="547"/>
      <c r="U38" s="547"/>
      <c r="V38" s="547"/>
      <c r="W38" s="547"/>
      <c r="X38" s="547"/>
      <c r="Y38" s="547"/>
      <c r="Z38" s="547"/>
      <c r="AA38" s="547"/>
      <c r="AB38" s="546"/>
      <c r="AC38" s="546"/>
      <c r="AD38" s="546"/>
      <c r="AE38" s="546"/>
      <c r="AF38" s="546"/>
      <c r="AG38" s="546"/>
      <c r="AH38" s="546"/>
      <c r="AI38" s="546"/>
      <c r="AJ38" s="546"/>
      <c r="AK38" s="546"/>
      <c r="AL38" s="546"/>
      <c r="AM38" s="546"/>
      <c r="AN38" s="546"/>
      <c r="AO38" s="546"/>
      <c r="AP38" s="546"/>
      <c r="AQ38" s="546"/>
      <c r="AR38" s="546"/>
      <c r="AS38" s="546"/>
      <c r="AT38" s="546"/>
      <c r="AU38" s="546"/>
      <c r="AV38" s="546"/>
      <c r="AW38" s="546"/>
      <c r="AX38" s="546"/>
      <c r="AY38" s="546"/>
      <c r="AZ38" s="546"/>
    </row>
    <row r="39" spans="1:52" ht="14">
      <c r="A39" s="552"/>
      <c r="B39" s="540" t="s">
        <v>520</v>
      </c>
      <c r="C39" s="525" t="s">
        <v>251</v>
      </c>
      <c r="D39" s="534">
        <v>0.69444444444444442</v>
      </c>
      <c r="E39" s="527">
        <v>9.27</v>
      </c>
      <c r="F39" s="531">
        <f t="shared" ref="F39" si="108">G39/(1+$I$2)</f>
        <v>0.90909090909090906</v>
      </c>
      <c r="G39" s="531">
        <f t="shared" si="7"/>
        <v>1</v>
      </c>
      <c r="H39" s="528">
        <f t="shared" ref="H39" si="109">E39+10*LOG(F39*10^6)</f>
        <v>68.85607314841775</v>
      </c>
      <c r="I39" s="529">
        <f t="shared" ref="I39" si="110">H39-10*LOG(G39*10^6)</f>
        <v>8.8560731484177495</v>
      </c>
      <c r="J39" s="535">
        <v>2.7457340000000001</v>
      </c>
      <c r="K39" s="536">
        <v>4</v>
      </c>
      <c r="L39" s="531">
        <f t="shared" ref="L39" si="111">F39*J39</f>
        <v>2.4961218181818183</v>
      </c>
      <c r="M39" s="527">
        <f t="shared" ref="M39" si="112">E39-10*LOG(J39)</f>
        <v>4.8834153844950627</v>
      </c>
      <c r="N39" s="527">
        <f t="shared" ref="N39" si="113">H39-10*LOG(O39*10^6)</f>
        <v>3.2494000867203852</v>
      </c>
      <c r="O39" s="527">
        <f t="shared" ref="O39" si="114">F39*K39</f>
        <v>3.6363636363636362</v>
      </c>
      <c r="P39" s="527">
        <f>O39*(25/36)</f>
        <v>2.5252525252525251</v>
      </c>
      <c r="Q39" s="527">
        <f>O39*(1-(25/36))</f>
        <v>1.1111111111111112</v>
      </c>
      <c r="R39" s="537">
        <f t="shared" ref="R39" si="115">(P39-L39)/P39</f>
        <v>1.1535759999999874E-2</v>
      </c>
      <c r="S39" s="546"/>
      <c r="T39" s="546"/>
      <c r="U39" s="546"/>
      <c r="V39" s="546"/>
      <c r="W39" s="546"/>
      <c r="X39" s="546"/>
      <c r="Y39" s="546"/>
      <c r="Z39" s="546"/>
      <c r="AA39" s="546"/>
      <c r="AB39" s="546"/>
      <c r="AC39" s="546"/>
      <c r="AD39" s="546"/>
      <c r="AE39" s="546"/>
      <c r="AF39" s="546"/>
      <c r="AG39" s="546"/>
      <c r="AH39" s="546"/>
      <c r="AI39" s="546"/>
      <c r="AJ39" s="546"/>
      <c r="AK39" s="546"/>
      <c r="AL39" s="546"/>
      <c r="AM39" s="546"/>
      <c r="AN39" s="546"/>
      <c r="AO39" s="546"/>
      <c r="AP39" s="546"/>
      <c r="AQ39" s="546"/>
      <c r="AR39" s="546"/>
      <c r="AS39" s="546"/>
      <c r="AT39" s="546"/>
      <c r="AU39" s="546"/>
      <c r="AV39" s="546"/>
      <c r="AW39" s="546"/>
      <c r="AX39" s="546"/>
      <c r="AY39" s="546"/>
      <c r="AZ39" s="546"/>
    </row>
    <row r="40" spans="1:52" ht="14">
      <c r="A40" s="552"/>
      <c r="B40" s="541" t="s">
        <v>521</v>
      </c>
      <c r="C40" s="519" t="s">
        <v>250</v>
      </c>
      <c r="D40" s="520">
        <v>0.83333333333333337</v>
      </c>
      <c r="E40" s="516">
        <v>9.35</v>
      </c>
      <c r="F40" s="522">
        <f t="shared" si="13"/>
        <v>0.90909090909090906</v>
      </c>
      <c r="G40" s="522">
        <f t="shared" si="7"/>
        <v>1</v>
      </c>
      <c r="H40" s="350">
        <f t="shared" si="0"/>
        <v>68.936073148417748</v>
      </c>
      <c r="I40" s="277">
        <f t="shared" si="1"/>
        <v>8.9360731484177478</v>
      </c>
      <c r="J40" s="517">
        <v>2.4785620000000002</v>
      </c>
      <c r="K40" s="518">
        <v>3</v>
      </c>
      <c r="L40" s="522">
        <f t="shared" si="2"/>
        <v>2.2532381818181819</v>
      </c>
      <c r="M40" s="516">
        <f t="shared" si="3"/>
        <v>5.4080021296173451</v>
      </c>
      <c r="N40" s="516">
        <f t="shared" si="4"/>
        <v>4.5787874528033825</v>
      </c>
      <c r="O40" s="516">
        <f t="shared" si="5"/>
        <v>2.7272727272727271</v>
      </c>
      <c r="P40" s="516">
        <f t="shared" si="8"/>
        <v>2.2727272727272725</v>
      </c>
      <c r="Q40" s="516">
        <f t="shared" si="9"/>
        <v>0.45454545454545442</v>
      </c>
      <c r="R40" s="523">
        <f t="shared" si="6"/>
        <v>8.5751999999998507E-3</v>
      </c>
      <c r="S40" s="546"/>
      <c r="T40" s="546"/>
      <c r="U40" s="546"/>
      <c r="V40" s="546"/>
      <c r="W40" s="546"/>
      <c r="X40" s="546"/>
      <c r="Y40" s="546"/>
      <c r="Z40" s="546"/>
      <c r="AA40" s="546"/>
      <c r="AB40" s="546"/>
      <c r="AC40" s="546"/>
      <c r="AD40" s="546"/>
      <c r="AE40" s="546"/>
      <c r="AF40" s="546"/>
      <c r="AG40" s="546"/>
      <c r="AH40" s="546"/>
      <c r="AI40" s="546"/>
      <c r="AJ40" s="546"/>
      <c r="AK40" s="546"/>
      <c r="AL40" s="546"/>
      <c r="AM40" s="546"/>
      <c r="AN40" s="546"/>
      <c r="AO40" s="546"/>
      <c r="AP40" s="546"/>
      <c r="AQ40" s="546"/>
      <c r="AR40" s="546"/>
      <c r="AS40" s="546"/>
      <c r="AT40" s="546"/>
      <c r="AU40" s="546"/>
      <c r="AV40" s="546"/>
      <c r="AW40" s="546"/>
      <c r="AX40" s="546"/>
      <c r="AY40" s="546"/>
      <c r="AZ40" s="546"/>
    </row>
    <row r="41" spans="1:52">
      <c r="A41" s="552"/>
      <c r="B41" s="540" t="s">
        <v>520</v>
      </c>
      <c r="C41" s="525" t="s">
        <v>251</v>
      </c>
      <c r="D41" s="534">
        <v>0.72222222222222221</v>
      </c>
      <c r="E41" s="527">
        <v>9.7100000000000009</v>
      </c>
      <c r="F41" s="531">
        <f t="shared" ref="F41" si="116">G41/(1+$I$2)</f>
        <v>0.90909090909090906</v>
      </c>
      <c r="G41" s="531">
        <f t="shared" si="7"/>
        <v>1</v>
      </c>
      <c r="H41" s="528">
        <f t="shared" ref="H41" si="117">E41+10*LOG(F41*10^6)</f>
        <v>69.296073148417747</v>
      </c>
      <c r="I41" s="527">
        <f t="shared" ref="I41" si="118">H41-10*LOG(G41*10^6)</f>
        <v>9.2960731484177472</v>
      </c>
      <c r="J41" s="535">
        <v>2.8562310000000002</v>
      </c>
      <c r="K41" s="536">
        <v>4</v>
      </c>
      <c r="L41" s="531">
        <f t="shared" ref="L41" si="119">F41*J41</f>
        <v>2.5965736363636363</v>
      </c>
      <c r="M41" s="527">
        <f t="shared" ref="M41" si="120">E41-10*LOG(J41)</f>
        <v>5.1520667155678845</v>
      </c>
      <c r="N41" s="527">
        <f t="shared" ref="N41" si="121">H41-10*LOG(O41*10^6)</f>
        <v>3.6894000867203829</v>
      </c>
      <c r="O41" s="527">
        <f t="shared" ref="O41" si="122">F41*K41</f>
        <v>3.6363636363636362</v>
      </c>
      <c r="P41" s="527">
        <f>O41*D41</f>
        <v>2.6262626262626263</v>
      </c>
      <c r="Q41" s="527">
        <f>O41*(1-D41)</f>
        <v>1.0101010101010102</v>
      </c>
      <c r="R41" s="533">
        <f t="shared" ref="R41" si="123">(P41-L41)/P41</f>
        <v>1.1304653846153903E-2</v>
      </c>
      <c r="S41" s="546"/>
      <c r="T41" s="546"/>
      <c r="U41" s="546"/>
      <c r="V41" s="546"/>
      <c r="W41" s="546"/>
      <c r="X41" s="546"/>
      <c r="Y41" s="546"/>
      <c r="Z41" s="546"/>
      <c r="AA41" s="546"/>
      <c r="AB41" s="546"/>
      <c r="AC41" s="546"/>
      <c r="AD41" s="546"/>
      <c r="AE41" s="546"/>
      <c r="AF41" s="546"/>
      <c r="AG41" s="546"/>
      <c r="AH41" s="546"/>
      <c r="AI41" s="546"/>
      <c r="AJ41" s="546"/>
      <c r="AK41" s="546"/>
      <c r="AL41" s="546"/>
      <c r="AM41" s="546"/>
      <c r="AN41" s="546"/>
      <c r="AO41" s="546"/>
      <c r="AP41" s="546"/>
      <c r="AQ41" s="546"/>
      <c r="AR41" s="546"/>
      <c r="AS41" s="546"/>
      <c r="AT41" s="546"/>
      <c r="AU41" s="546"/>
      <c r="AV41" s="546"/>
      <c r="AW41" s="546"/>
      <c r="AX41" s="546"/>
      <c r="AY41" s="546"/>
      <c r="AZ41" s="546"/>
    </row>
    <row r="42" spans="1:52" ht="14">
      <c r="A42" s="552"/>
      <c r="B42" s="541" t="s">
        <v>521</v>
      </c>
      <c r="C42" s="519" t="s">
        <v>251</v>
      </c>
      <c r="D42" s="520">
        <v>0.75</v>
      </c>
      <c r="E42" s="516">
        <v>10.210000000000001</v>
      </c>
      <c r="F42" s="522">
        <f t="shared" si="13"/>
        <v>0.90909090909090906</v>
      </c>
      <c r="G42" s="522">
        <f t="shared" si="7"/>
        <v>1</v>
      </c>
      <c r="H42" s="350">
        <f t="shared" si="0"/>
        <v>69.796073148417747</v>
      </c>
      <c r="I42" s="277">
        <f t="shared" si="1"/>
        <v>9.7960731484177472</v>
      </c>
      <c r="J42" s="517">
        <v>2.9667279999999998</v>
      </c>
      <c r="K42" s="518">
        <v>4</v>
      </c>
      <c r="L42" s="522">
        <f t="shared" si="2"/>
        <v>2.6970254545454542</v>
      </c>
      <c r="M42" s="516">
        <f t="shared" si="3"/>
        <v>5.487222694951269</v>
      </c>
      <c r="N42" s="516">
        <f t="shared" si="4"/>
        <v>4.1894000867203829</v>
      </c>
      <c r="O42" s="516">
        <f t="shared" si="5"/>
        <v>3.6363636363636362</v>
      </c>
      <c r="P42" s="516">
        <f t="shared" si="8"/>
        <v>2.7272727272727271</v>
      </c>
      <c r="Q42" s="516">
        <f t="shared" si="9"/>
        <v>0.90909090909090906</v>
      </c>
      <c r="R42" s="524">
        <f t="shared" si="6"/>
        <v>1.1090666666666731E-2</v>
      </c>
      <c r="S42" s="546"/>
      <c r="T42" s="546"/>
      <c r="U42" s="546"/>
      <c r="V42" s="546"/>
      <c r="W42" s="546"/>
      <c r="X42" s="546"/>
      <c r="Y42" s="546"/>
      <c r="Z42" s="546"/>
      <c r="AA42" s="546"/>
      <c r="AB42" s="546"/>
      <c r="AC42" s="546"/>
      <c r="AD42" s="546"/>
      <c r="AE42" s="546"/>
      <c r="AF42" s="546"/>
      <c r="AG42" s="546"/>
      <c r="AH42" s="546"/>
      <c r="AI42" s="546"/>
      <c r="AJ42" s="546"/>
      <c r="AK42" s="546"/>
      <c r="AL42" s="546"/>
      <c r="AM42" s="546"/>
      <c r="AN42" s="546"/>
      <c r="AO42" s="546"/>
      <c r="AP42" s="546"/>
      <c r="AQ42" s="546"/>
      <c r="AR42" s="546"/>
      <c r="AS42" s="546"/>
      <c r="AT42" s="546"/>
      <c r="AU42" s="546"/>
      <c r="AV42" s="546"/>
      <c r="AW42" s="546"/>
      <c r="AX42" s="546"/>
      <c r="AY42" s="546"/>
      <c r="AZ42" s="546"/>
    </row>
    <row r="43" spans="1:52" ht="14">
      <c r="A43" s="552"/>
      <c r="B43" s="540" t="s">
        <v>520</v>
      </c>
      <c r="C43" s="525" t="s">
        <v>251</v>
      </c>
      <c r="D43" s="534">
        <v>0.77777777777777779</v>
      </c>
      <c r="E43" s="527">
        <v>10.65</v>
      </c>
      <c r="F43" s="531">
        <f t="shared" ref="F43" si="124">G43/(1+$I$2)</f>
        <v>0.90909090909090906</v>
      </c>
      <c r="G43" s="531">
        <f t="shared" si="7"/>
        <v>1</v>
      </c>
      <c r="H43" s="528">
        <f t="shared" ref="H43" si="125">E43+10*LOG(F43*10^6)</f>
        <v>70.236073148417745</v>
      </c>
      <c r="I43" s="529">
        <f t="shared" ref="I43" si="126">H43-10*LOG(G43*10^6)</f>
        <v>10.236073148417745</v>
      </c>
      <c r="J43" s="535">
        <v>3.0772249999999999</v>
      </c>
      <c r="K43" s="536">
        <v>4</v>
      </c>
      <c r="L43" s="531">
        <f t="shared" ref="L43" si="127">F43*J43</f>
        <v>2.7974772727272725</v>
      </c>
      <c r="M43" s="527">
        <f t="shared" ref="M43" si="128">E43-10*LOG(J43)</f>
        <v>5.7684074792350648</v>
      </c>
      <c r="N43" s="527">
        <f t="shared" ref="N43" si="129">H43-10*LOG(O43*10^6)</f>
        <v>4.6294000867203806</v>
      </c>
      <c r="O43" s="527">
        <f t="shared" ref="O43" si="130">F43*K43</f>
        <v>3.6363636363636362</v>
      </c>
      <c r="P43" s="527">
        <f>O43*D43</f>
        <v>2.8282828282828283</v>
      </c>
      <c r="Q43" s="527">
        <f>O43*(1-D43)</f>
        <v>0.80808080808080796</v>
      </c>
      <c r="R43" s="537">
        <f t="shared" ref="R43" si="131">(P43-L43)/P43</f>
        <v>1.0891964285714355E-2</v>
      </c>
      <c r="S43" s="546"/>
      <c r="T43" s="546"/>
      <c r="U43" s="546"/>
      <c r="V43" s="546"/>
      <c r="W43" s="546"/>
      <c r="X43" s="546"/>
      <c r="Y43" s="546"/>
      <c r="Z43" s="546"/>
      <c r="AA43" s="546"/>
      <c r="AB43" s="546"/>
      <c r="AC43" s="546"/>
      <c r="AD43" s="546"/>
      <c r="AE43" s="546"/>
      <c r="AF43" s="546"/>
      <c r="AG43" s="546"/>
      <c r="AH43" s="546"/>
      <c r="AI43" s="546"/>
      <c r="AJ43" s="546"/>
      <c r="AK43" s="546"/>
      <c r="AL43" s="546"/>
      <c r="AM43" s="546"/>
      <c r="AN43" s="546"/>
      <c r="AO43" s="546"/>
      <c r="AP43" s="546"/>
      <c r="AQ43" s="546"/>
      <c r="AR43" s="546"/>
      <c r="AS43" s="546"/>
      <c r="AT43" s="546"/>
      <c r="AU43" s="546"/>
      <c r="AV43" s="546"/>
      <c r="AW43" s="546"/>
      <c r="AX43" s="546"/>
      <c r="AY43" s="546"/>
      <c r="AZ43" s="546"/>
    </row>
    <row r="44" spans="1:52" ht="14">
      <c r="A44" s="552"/>
      <c r="B44" s="541" t="s">
        <v>521</v>
      </c>
      <c r="C44" s="519" t="s">
        <v>250</v>
      </c>
      <c r="D44" s="520">
        <v>0.88888888888888884</v>
      </c>
      <c r="E44" s="516">
        <v>10.69</v>
      </c>
      <c r="F44" s="522">
        <f t="shared" si="13"/>
        <v>0.90909090909090906</v>
      </c>
      <c r="G44" s="522">
        <f t="shared" si="7"/>
        <v>1</v>
      </c>
      <c r="H44" s="350">
        <f t="shared" si="0"/>
        <v>70.276073148417751</v>
      </c>
      <c r="I44" s="277">
        <f t="shared" si="1"/>
        <v>10.276073148417751</v>
      </c>
      <c r="J44" s="517">
        <v>2.6460119999999998</v>
      </c>
      <c r="K44" s="518">
        <v>3</v>
      </c>
      <c r="L44" s="522">
        <f t="shared" si="2"/>
        <v>2.4054654545454541</v>
      </c>
      <c r="M44" s="516">
        <f t="shared" si="3"/>
        <v>6.464081905634969</v>
      </c>
      <c r="N44" s="516">
        <f t="shared" si="4"/>
        <v>5.9187874528033859</v>
      </c>
      <c r="O44" s="516">
        <f t="shared" si="5"/>
        <v>2.7272727272727271</v>
      </c>
      <c r="P44" s="516">
        <f t="shared" si="8"/>
        <v>2.4242424242424239</v>
      </c>
      <c r="Q44" s="516">
        <f t="shared" si="9"/>
        <v>0.30303030303030315</v>
      </c>
      <c r="R44" s="524">
        <f t="shared" si="6"/>
        <v>7.7455000000000171E-3</v>
      </c>
      <c r="S44" s="546"/>
      <c r="T44" s="546"/>
      <c r="U44" s="546"/>
      <c r="V44" s="546"/>
      <c r="W44" s="546"/>
      <c r="X44" s="546"/>
      <c r="Y44" s="546"/>
      <c r="Z44" s="546"/>
      <c r="AA44" s="546"/>
      <c r="AB44" s="546"/>
      <c r="AC44" s="546"/>
      <c r="AD44" s="546"/>
      <c r="AE44" s="546"/>
      <c r="AF44" s="546"/>
      <c r="AG44" s="546"/>
      <c r="AH44" s="546"/>
      <c r="AI44" s="546"/>
      <c r="AJ44" s="546"/>
      <c r="AK44" s="546"/>
      <c r="AL44" s="546"/>
      <c r="AM44" s="546"/>
      <c r="AN44" s="546"/>
      <c r="AO44" s="546"/>
      <c r="AP44" s="546"/>
      <c r="AQ44" s="546"/>
      <c r="AR44" s="546"/>
      <c r="AS44" s="546"/>
      <c r="AT44" s="546"/>
      <c r="AU44" s="546"/>
      <c r="AV44" s="546"/>
      <c r="AW44" s="546"/>
      <c r="AX44" s="546"/>
      <c r="AY44" s="546"/>
      <c r="AZ44" s="546"/>
    </row>
    <row r="45" spans="1:52" ht="14">
      <c r="A45" s="552"/>
      <c r="B45" s="541" t="s">
        <v>521</v>
      </c>
      <c r="C45" s="519" t="s">
        <v>250</v>
      </c>
      <c r="D45" s="520">
        <v>0.9</v>
      </c>
      <c r="E45" s="516">
        <v>10.98</v>
      </c>
      <c r="F45" s="522">
        <f t="shared" si="13"/>
        <v>0.90909090909090906</v>
      </c>
      <c r="G45" s="522">
        <f t="shared" si="7"/>
        <v>1</v>
      </c>
      <c r="H45" s="350">
        <f t="shared" si="0"/>
        <v>70.566073148417743</v>
      </c>
      <c r="I45" s="277">
        <f t="shared" si="1"/>
        <v>10.566073148417743</v>
      </c>
      <c r="J45" s="517">
        <v>2.6792069999999999</v>
      </c>
      <c r="K45" s="518">
        <v>3</v>
      </c>
      <c r="L45" s="522">
        <f t="shared" si="2"/>
        <v>2.435642727272727</v>
      </c>
      <c r="M45" s="516">
        <f t="shared" si="3"/>
        <v>6.6999373077969979</v>
      </c>
      <c r="N45" s="516">
        <f t="shared" si="4"/>
        <v>6.208787452803378</v>
      </c>
      <c r="O45" s="516">
        <f t="shared" si="5"/>
        <v>2.7272727272727271</v>
      </c>
      <c r="P45" s="516">
        <f t="shared" si="8"/>
        <v>2.4545454545454546</v>
      </c>
      <c r="Q45" s="516">
        <f t="shared" si="9"/>
        <v>0.27272727272727265</v>
      </c>
      <c r="R45" s="524">
        <f t="shared" si="6"/>
        <v>7.7011111111112323E-3</v>
      </c>
      <c r="S45" s="546"/>
      <c r="T45" s="546"/>
      <c r="U45" s="546"/>
      <c r="V45" s="546"/>
      <c r="W45" s="546"/>
      <c r="X45" s="546"/>
      <c r="Y45" s="546"/>
      <c r="Z45" s="546"/>
      <c r="AA45" s="546"/>
      <c r="AB45" s="546"/>
      <c r="AC45" s="546"/>
      <c r="AD45" s="546"/>
      <c r="AE45" s="546"/>
      <c r="AF45" s="546"/>
      <c r="AG45" s="546"/>
      <c r="AH45" s="546"/>
      <c r="AI45" s="546"/>
      <c r="AJ45" s="546"/>
      <c r="AK45" s="546"/>
      <c r="AL45" s="546"/>
      <c r="AM45" s="546"/>
      <c r="AN45" s="546"/>
      <c r="AO45" s="546"/>
      <c r="AP45" s="546"/>
      <c r="AQ45" s="546"/>
      <c r="AR45" s="546"/>
      <c r="AS45" s="546"/>
      <c r="AT45" s="546"/>
      <c r="AU45" s="546"/>
      <c r="AV45" s="546"/>
      <c r="AW45" s="546"/>
      <c r="AX45" s="546"/>
      <c r="AY45" s="546"/>
      <c r="AZ45" s="546"/>
    </row>
    <row r="46" spans="1:52" ht="14">
      <c r="A46" s="552"/>
      <c r="B46" s="541" t="s">
        <v>521</v>
      </c>
      <c r="C46" s="519" t="s">
        <v>251</v>
      </c>
      <c r="D46" s="520">
        <v>0.8</v>
      </c>
      <c r="E46" s="516">
        <v>11.03</v>
      </c>
      <c r="F46" s="522">
        <f t="shared" si="13"/>
        <v>0.90909090909090906</v>
      </c>
      <c r="G46" s="522">
        <f t="shared" si="7"/>
        <v>1</v>
      </c>
      <c r="H46" s="350">
        <f t="shared" si="0"/>
        <v>70.61607314841774</v>
      </c>
      <c r="I46" s="277">
        <f t="shared" si="1"/>
        <v>10.61607314841774</v>
      </c>
      <c r="J46" s="517">
        <v>3.1656230000000001</v>
      </c>
      <c r="K46" s="518">
        <v>4</v>
      </c>
      <c r="L46" s="522">
        <f t="shared" si="2"/>
        <v>2.8778390909090907</v>
      </c>
      <c r="M46" s="516">
        <f t="shared" si="3"/>
        <v>6.0254080734122093</v>
      </c>
      <c r="N46" s="516">
        <f t="shared" si="4"/>
        <v>5.0094000867203761</v>
      </c>
      <c r="O46" s="516">
        <f t="shared" si="5"/>
        <v>3.6363636363636362</v>
      </c>
      <c r="P46" s="516">
        <f t="shared" si="8"/>
        <v>2.9090909090909092</v>
      </c>
      <c r="Q46" s="516">
        <f t="shared" si="9"/>
        <v>0.72727272727272707</v>
      </c>
      <c r="R46" s="524">
        <f t="shared" si="6"/>
        <v>1.0742812500000087E-2</v>
      </c>
      <c r="S46" s="546"/>
      <c r="T46" s="546"/>
      <c r="U46" s="546"/>
      <c r="V46" s="546"/>
      <c r="W46" s="546"/>
      <c r="X46" s="546"/>
      <c r="Y46" s="546"/>
      <c r="Z46" s="546"/>
      <c r="AA46" s="546"/>
      <c r="AB46" s="546"/>
      <c r="AC46" s="546"/>
      <c r="AD46" s="546"/>
      <c r="AE46" s="546"/>
      <c r="AF46" s="546"/>
      <c r="AG46" s="546"/>
      <c r="AH46" s="546"/>
      <c r="AI46" s="546"/>
      <c r="AJ46" s="546"/>
      <c r="AK46" s="546"/>
      <c r="AL46" s="546"/>
      <c r="AM46" s="546"/>
      <c r="AN46" s="546"/>
      <c r="AO46" s="546"/>
      <c r="AP46" s="546"/>
      <c r="AQ46" s="546"/>
      <c r="AR46" s="546"/>
      <c r="AS46" s="546"/>
      <c r="AT46" s="546"/>
      <c r="AU46" s="546"/>
      <c r="AV46" s="546"/>
      <c r="AW46" s="546"/>
      <c r="AX46" s="546"/>
      <c r="AY46" s="546"/>
      <c r="AZ46" s="546"/>
    </row>
    <row r="47" spans="1:52" ht="14">
      <c r="A47" s="552"/>
      <c r="B47" s="540" t="s">
        <v>520</v>
      </c>
      <c r="C47" s="525" t="s">
        <v>252</v>
      </c>
      <c r="D47" s="534" t="s">
        <v>529</v>
      </c>
      <c r="E47" s="527">
        <v>11.1</v>
      </c>
      <c r="F47" s="531">
        <f t="shared" ref="F47" si="132">G47/(1+$I$2)</f>
        <v>0.90909090909090906</v>
      </c>
      <c r="G47" s="531">
        <f t="shared" si="7"/>
        <v>1</v>
      </c>
      <c r="H47" s="528">
        <f t="shared" ref="H47" si="133">E47+10*LOG(F47*10^6)</f>
        <v>70.686073148417748</v>
      </c>
      <c r="I47" s="529">
        <f t="shared" ref="I47" si="134">H47-10*LOG(G47*10^6)</f>
        <v>10.686073148417748</v>
      </c>
      <c r="J47" s="535">
        <v>3.2895020000000001</v>
      </c>
      <c r="K47" s="536">
        <v>5</v>
      </c>
      <c r="L47" s="531">
        <f t="shared" ref="L47" si="135">F47*J47</f>
        <v>2.9904563636363637</v>
      </c>
      <c r="M47" s="527">
        <f t="shared" ref="M47" si="136">E47-10*LOG(J47)</f>
        <v>5.928698452179435</v>
      </c>
      <c r="N47" s="527">
        <f t="shared" ref="N47" si="137">H47-10*LOG(O47*10^6)</f>
        <v>4.1102999566398211</v>
      </c>
      <c r="O47" s="527">
        <f t="shared" ref="O47" si="138">F47*K47</f>
        <v>4.545454545454545</v>
      </c>
      <c r="P47" s="525">
        <f>O47*(2/3)</f>
        <v>3.0303030303030298</v>
      </c>
      <c r="Q47" s="527">
        <f>O47*(1-(2/3))</f>
        <v>1.5151515151515151</v>
      </c>
      <c r="R47" s="537">
        <f t="shared" ref="R47" si="139">(P47-L47)/P47</f>
        <v>1.3149399999999829E-2</v>
      </c>
      <c r="S47" s="546"/>
      <c r="T47" s="546"/>
      <c r="U47" s="546"/>
      <c r="V47" s="546"/>
      <c r="W47" s="546"/>
      <c r="X47" s="546"/>
      <c r="Y47" s="546"/>
      <c r="Z47" s="546"/>
      <c r="AA47" s="546"/>
      <c r="AB47" s="546"/>
      <c r="AC47" s="546"/>
      <c r="AD47" s="546"/>
      <c r="AE47" s="546"/>
      <c r="AF47" s="546"/>
      <c r="AG47" s="546"/>
      <c r="AH47" s="546"/>
      <c r="AI47" s="546"/>
      <c r="AJ47" s="546"/>
      <c r="AK47" s="546"/>
      <c r="AL47" s="546"/>
      <c r="AM47" s="546"/>
      <c r="AN47" s="546"/>
      <c r="AO47" s="546"/>
      <c r="AP47" s="546"/>
      <c r="AQ47" s="546"/>
      <c r="AR47" s="546"/>
      <c r="AS47" s="546"/>
      <c r="AT47" s="546"/>
      <c r="AU47" s="546"/>
      <c r="AV47" s="546"/>
      <c r="AW47" s="546"/>
      <c r="AX47" s="546"/>
      <c r="AY47" s="546"/>
      <c r="AZ47" s="546"/>
    </row>
    <row r="48" spans="1:52" ht="14">
      <c r="A48" s="552"/>
      <c r="B48" s="541" t="s">
        <v>521</v>
      </c>
      <c r="C48" s="519" t="s">
        <v>251</v>
      </c>
      <c r="D48" s="520">
        <v>0.83333333333333337</v>
      </c>
      <c r="E48" s="516">
        <v>11.61</v>
      </c>
      <c r="F48" s="522">
        <f t="shared" si="13"/>
        <v>0.90909090909090906</v>
      </c>
      <c r="G48" s="522">
        <f t="shared" si="7"/>
        <v>1</v>
      </c>
      <c r="H48" s="350">
        <f t="shared" si="0"/>
        <v>71.196073148417753</v>
      </c>
      <c r="I48" s="277">
        <f t="shared" si="1"/>
        <v>11.196073148417753</v>
      </c>
      <c r="J48" s="517">
        <v>3.3001839999999998</v>
      </c>
      <c r="K48" s="518">
        <v>4</v>
      </c>
      <c r="L48" s="522">
        <f t="shared" si="2"/>
        <v>3.0001672727272726</v>
      </c>
      <c r="M48" s="516">
        <f t="shared" si="3"/>
        <v>6.4246184558970221</v>
      </c>
      <c r="N48" s="516">
        <f t="shared" si="4"/>
        <v>5.5894000867203886</v>
      </c>
      <c r="O48" s="516">
        <f t="shared" si="5"/>
        <v>3.6363636363636362</v>
      </c>
      <c r="P48" s="516">
        <f t="shared" si="8"/>
        <v>3.0303030303030303</v>
      </c>
      <c r="Q48" s="516">
        <f t="shared" si="9"/>
        <v>0.60606060606060586</v>
      </c>
      <c r="R48" s="524">
        <f t="shared" si="6"/>
        <v>9.9448000000000418E-3</v>
      </c>
      <c r="S48" s="546"/>
      <c r="T48" s="546"/>
      <c r="U48" s="546"/>
      <c r="V48" s="546"/>
      <c r="W48" s="546"/>
      <c r="X48" s="546"/>
      <c r="Y48" s="546"/>
      <c r="Z48" s="546"/>
      <c r="AA48" s="546"/>
      <c r="AB48" s="546"/>
      <c r="AC48" s="546"/>
      <c r="AD48" s="546"/>
      <c r="AE48" s="546"/>
      <c r="AF48" s="546"/>
      <c r="AG48" s="546"/>
      <c r="AH48" s="546"/>
      <c r="AI48" s="546"/>
      <c r="AJ48" s="546"/>
      <c r="AK48" s="546"/>
      <c r="AL48" s="546"/>
      <c r="AM48" s="546"/>
      <c r="AN48" s="546"/>
      <c r="AO48" s="546"/>
      <c r="AP48" s="546"/>
      <c r="AQ48" s="546"/>
      <c r="AR48" s="546"/>
      <c r="AS48" s="546"/>
      <c r="AT48" s="546"/>
      <c r="AU48" s="546"/>
      <c r="AV48" s="546"/>
      <c r="AW48" s="546"/>
      <c r="AX48" s="546"/>
      <c r="AY48" s="546"/>
      <c r="AZ48" s="546"/>
    </row>
    <row r="49" spans="1:52" ht="14">
      <c r="A49" s="552"/>
      <c r="B49" s="540" t="s">
        <v>520</v>
      </c>
      <c r="C49" s="525" t="s">
        <v>252</v>
      </c>
      <c r="D49" s="538">
        <v>0.71111111111111114</v>
      </c>
      <c r="E49" s="527">
        <v>11.75</v>
      </c>
      <c r="F49" s="531">
        <f t="shared" ref="F49" si="140">G49/(1+$I$2)</f>
        <v>0.90909090909090906</v>
      </c>
      <c r="G49" s="531">
        <f t="shared" si="7"/>
        <v>1</v>
      </c>
      <c r="H49" s="528">
        <f t="shared" ref="H49" si="141">E49+10*LOG(F49*10^6)</f>
        <v>71.336073148417739</v>
      </c>
      <c r="I49" s="529">
        <f t="shared" ref="I49" si="142">H49-10*LOG(G49*10^6)</f>
        <v>11.336073148417739</v>
      </c>
      <c r="J49" s="535">
        <v>3.510192</v>
      </c>
      <c r="K49" s="536">
        <v>5</v>
      </c>
      <c r="L49" s="531">
        <f t="shared" ref="L49" si="143">F49*J49</f>
        <v>3.1910836363636363</v>
      </c>
      <c r="M49" s="527">
        <f t="shared" ref="M49" si="144">E49-10*LOG(J49)</f>
        <v>6.2966912790454463</v>
      </c>
      <c r="N49" s="527">
        <f t="shared" ref="N49" si="145">H49-10*LOG(O49*10^6)</f>
        <v>4.7602999566398125</v>
      </c>
      <c r="O49" s="527">
        <f t="shared" ref="O49" si="146">F49*K49</f>
        <v>4.545454545454545</v>
      </c>
      <c r="P49" s="527">
        <f t="shared" ref="P49" si="147">O49*D49</f>
        <v>3.2323232323232323</v>
      </c>
      <c r="Q49" s="527">
        <f t="shared" ref="Q49" si="148">O49*(1-D49)</f>
        <v>1.3131313131313129</v>
      </c>
      <c r="R49" s="537">
        <f t="shared" ref="R49" si="149">(P49-L49)/P49</f>
        <v>1.2758499999999989E-2</v>
      </c>
      <c r="S49" s="546"/>
      <c r="T49" s="546"/>
      <c r="U49" s="546"/>
      <c r="V49" s="546"/>
      <c r="W49" s="546"/>
      <c r="X49" s="546"/>
      <c r="Y49" s="546"/>
      <c r="Z49" s="546"/>
      <c r="AA49" s="546"/>
      <c r="AB49" s="546"/>
      <c r="AC49" s="546"/>
      <c r="AD49" s="546"/>
      <c r="AE49" s="546"/>
      <c r="AF49" s="546"/>
      <c r="AG49" s="546"/>
      <c r="AH49" s="546"/>
      <c r="AI49" s="546"/>
      <c r="AJ49" s="546"/>
      <c r="AK49" s="546"/>
      <c r="AL49" s="546"/>
      <c r="AM49" s="546"/>
      <c r="AN49" s="546"/>
      <c r="AO49" s="546"/>
      <c r="AP49" s="546"/>
      <c r="AQ49" s="546"/>
      <c r="AR49" s="546"/>
      <c r="AS49" s="546"/>
      <c r="AT49" s="546"/>
      <c r="AU49" s="546"/>
      <c r="AV49" s="546"/>
      <c r="AW49" s="546"/>
      <c r="AX49" s="546"/>
      <c r="AY49" s="546"/>
      <c r="AZ49" s="546"/>
    </row>
    <row r="50" spans="1:52" ht="14">
      <c r="A50" s="552"/>
      <c r="B50" s="540" t="s">
        <v>520</v>
      </c>
      <c r="C50" s="525" t="s">
        <v>251</v>
      </c>
      <c r="D50" s="538">
        <v>0.85555555555555551</v>
      </c>
      <c r="E50" s="527">
        <v>11.99</v>
      </c>
      <c r="F50" s="531">
        <f t="shared" ref="F50" si="150">G50/(1+$I$2)</f>
        <v>0.90909090909090906</v>
      </c>
      <c r="G50" s="531">
        <f t="shared" si="7"/>
        <v>1</v>
      </c>
      <c r="H50" s="528">
        <f t="shared" ref="H50" si="151">E50+10*LOG(F50*10^6)</f>
        <v>71.576073148417748</v>
      </c>
      <c r="I50" s="529">
        <f t="shared" ref="I50" si="152">H50-10*LOG(G50*10^6)</f>
        <v>11.576073148417748</v>
      </c>
      <c r="J50" s="535">
        <v>3.38618</v>
      </c>
      <c r="K50" s="536">
        <v>4</v>
      </c>
      <c r="L50" s="531">
        <f t="shared" ref="L50" si="153">F50*J50</f>
        <v>3.0783454545454543</v>
      </c>
      <c r="M50" s="527">
        <f t="shared" ref="M50" si="154">E50-10*LOG(J50)</f>
        <v>6.6928995971527767</v>
      </c>
      <c r="N50" s="527">
        <f t="shared" ref="N50" si="155">H50-10*LOG(O50*10^6)</f>
        <v>5.969400086720384</v>
      </c>
      <c r="O50" s="527">
        <f t="shared" ref="O50" si="156">F50*K50</f>
        <v>3.6363636363636362</v>
      </c>
      <c r="P50" s="527">
        <f>O50*D50</f>
        <v>3.1111111111111107</v>
      </c>
      <c r="Q50" s="527">
        <f>O50*(1-D50)</f>
        <v>0.52525252525252542</v>
      </c>
      <c r="R50" s="537">
        <f t="shared" ref="R50" si="157">(P50-L50)/P50</f>
        <v>1.0531818181818144E-2</v>
      </c>
      <c r="S50" s="546"/>
      <c r="T50" s="546"/>
      <c r="U50" s="546"/>
      <c r="V50" s="546"/>
      <c r="W50" s="546"/>
      <c r="X50" s="546"/>
      <c r="Y50" s="546"/>
      <c r="Z50" s="546"/>
      <c r="AA50" s="546"/>
      <c r="AB50" s="546"/>
      <c r="AC50" s="546"/>
      <c r="AD50" s="546"/>
      <c r="AE50" s="546"/>
      <c r="AF50" s="546"/>
      <c r="AG50" s="546"/>
      <c r="AH50" s="546"/>
      <c r="AI50" s="546"/>
      <c r="AJ50" s="546"/>
      <c r="AK50" s="546"/>
      <c r="AL50" s="546"/>
      <c r="AM50" s="546"/>
      <c r="AN50" s="546"/>
      <c r="AO50" s="546"/>
      <c r="AP50" s="546"/>
      <c r="AQ50" s="546"/>
      <c r="AR50" s="546"/>
      <c r="AS50" s="546"/>
      <c r="AT50" s="546"/>
      <c r="AU50" s="546"/>
      <c r="AV50" s="546"/>
      <c r="AW50" s="546"/>
      <c r="AX50" s="546"/>
      <c r="AY50" s="546"/>
      <c r="AZ50" s="546"/>
    </row>
    <row r="51" spans="1:52" ht="14">
      <c r="A51" s="552"/>
      <c r="B51" s="540" t="s">
        <v>520</v>
      </c>
      <c r="C51" s="525" t="s">
        <v>252</v>
      </c>
      <c r="D51" s="538">
        <v>0.73333333333333328</v>
      </c>
      <c r="E51" s="527">
        <v>12.17</v>
      </c>
      <c r="F51" s="531">
        <f t="shared" ref="F51" si="158">G51/(1+$I$2)</f>
        <v>0.90909090909090906</v>
      </c>
      <c r="G51" s="531">
        <f t="shared" si="7"/>
        <v>1</v>
      </c>
      <c r="H51" s="528">
        <f t="shared" ref="H51" si="159">E51+10*LOG(F51*10^6)</f>
        <v>71.756073148417741</v>
      </c>
      <c r="I51" s="529">
        <f t="shared" ref="I51" si="160">H51-10*LOG(G51*10^6)</f>
        <v>11.756073148417741</v>
      </c>
      <c r="J51" s="535">
        <v>3.620536</v>
      </c>
      <c r="K51" s="536">
        <v>5</v>
      </c>
      <c r="L51" s="531">
        <f t="shared" ref="L51" si="161">F51*J51</f>
        <v>3.2913963636363635</v>
      </c>
      <c r="M51" s="527">
        <f t="shared" ref="M51" si="162">E51-10*LOG(J51)</f>
        <v>6.5822712985069387</v>
      </c>
      <c r="N51" s="527">
        <f t="shared" ref="N51" si="163">H51-10*LOG(O51*10^6)</f>
        <v>5.1802999566398142</v>
      </c>
      <c r="O51" s="527">
        <f t="shared" ref="O51" si="164">F51*K51</f>
        <v>4.545454545454545</v>
      </c>
      <c r="P51" s="527">
        <f>O51*D51</f>
        <v>3.3333333333333326</v>
      </c>
      <c r="Q51" s="527">
        <f>O51*(1-D51)</f>
        <v>1.2121212121212122</v>
      </c>
      <c r="R51" s="537">
        <f t="shared" ref="R51" si="165">(P51-L51)/P51</f>
        <v>1.2581090909090745E-2</v>
      </c>
      <c r="S51" s="546"/>
      <c r="T51" s="546"/>
      <c r="U51" s="546"/>
      <c r="V51" s="546"/>
      <c r="W51" s="546"/>
      <c r="X51" s="546"/>
      <c r="Y51" s="546"/>
      <c r="Z51" s="546"/>
      <c r="AA51" s="546"/>
      <c r="AB51" s="546"/>
      <c r="AC51" s="546"/>
      <c r="AD51" s="546"/>
      <c r="AE51" s="546"/>
      <c r="AF51" s="546"/>
      <c r="AG51" s="546"/>
      <c r="AH51" s="546"/>
      <c r="AI51" s="546"/>
      <c r="AJ51" s="546"/>
      <c r="AK51" s="546"/>
      <c r="AL51" s="546"/>
      <c r="AM51" s="546"/>
      <c r="AN51" s="546"/>
      <c r="AO51" s="546"/>
      <c r="AP51" s="546"/>
      <c r="AQ51" s="546"/>
      <c r="AR51" s="546"/>
      <c r="AS51" s="546"/>
      <c r="AT51" s="546"/>
      <c r="AU51" s="546"/>
      <c r="AV51" s="546"/>
      <c r="AW51" s="546"/>
      <c r="AX51" s="546"/>
      <c r="AY51" s="546"/>
      <c r="AZ51" s="546"/>
    </row>
    <row r="52" spans="1:52" ht="14">
      <c r="A52" s="552"/>
      <c r="B52" s="541" t="s">
        <v>521</v>
      </c>
      <c r="C52" s="519" t="s">
        <v>252</v>
      </c>
      <c r="D52" s="520">
        <v>0.75</v>
      </c>
      <c r="E52" s="516">
        <v>12.73</v>
      </c>
      <c r="F52" s="522">
        <f t="shared" si="13"/>
        <v>0.90909090909090906</v>
      </c>
      <c r="G52" s="522">
        <f t="shared" si="7"/>
        <v>1</v>
      </c>
      <c r="H52" s="350">
        <f t="shared" si="0"/>
        <v>72.316073148417743</v>
      </c>
      <c r="I52" s="277">
        <f t="shared" si="1"/>
        <v>12.316073148417743</v>
      </c>
      <c r="J52" s="517">
        <v>3.7032949999999998</v>
      </c>
      <c r="K52" s="518">
        <v>5</v>
      </c>
      <c r="L52" s="522">
        <f t="shared" si="2"/>
        <v>3.3666318181818178</v>
      </c>
      <c r="M52" s="516">
        <f t="shared" si="3"/>
        <v>7.0441169119948848</v>
      </c>
      <c r="N52" s="516">
        <f t="shared" si="4"/>
        <v>5.7402999566398165</v>
      </c>
      <c r="O52" s="516">
        <f t="shared" si="5"/>
        <v>4.545454545454545</v>
      </c>
      <c r="P52" s="516">
        <f t="shared" si="8"/>
        <v>3.4090909090909087</v>
      </c>
      <c r="Q52" s="516">
        <f t="shared" si="9"/>
        <v>1.1363636363636362</v>
      </c>
      <c r="R52" s="524">
        <f t="shared" si="6"/>
        <v>1.2454666666666678E-2</v>
      </c>
      <c r="S52" s="546"/>
      <c r="T52" s="546"/>
      <c r="U52" s="546"/>
      <c r="V52" s="546"/>
      <c r="W52" s="546"/>
      <c r="X52" s="546"/>
      <c r="Y52" s="546"/>
      <c r="Z52" s="546"/>
      <c r="AA52" s="546"/>
      <c r="AB52" s="546"/>
      <c r="AC52" s="546"/>
      <c r="AD52" s="546"/>
      <c r="AE52" s="546"/>
      <c r="AF52" s="546"/>
      <c r="AG52" s="546"/>
      <c r="AH52" s="546"/>
      <c r="AI52" s="546"/>
      <c r="AJ52" s="546"/>
      <c r="AK52" s="546"/>
      <c r="AL52" s="546"/>
      <c r="AM52" s="546"/>
      <c r="AN52" s="546"/>
      <c r="AO52" s="546"/>
      <c r="AP52" s="546"/>
      <c r="AQ52" s="546"/>
      <c r="AR52" s="546"/>
      <c r="AS52" s="546"/>
      <c r="AT52" s="546"/>
      <c r="AU52" s="546"/>
      <c r="AV52" s="546"/>
      <c r="AW52" s="546"/>
      <c r="AX52" s="546"/>
      <c r="AY52" s="546"/>
      <c r="AZ52" s="546"/>
    </row>
    <row r="53" spans="1:52" ht="14">
      <c r="A53" s="552"/>
      <c r="B53" s="541" t="s">
        <v>521</v>
      </c>
      <c r="C53" s="519" t="s">
        <v>251</v>
      </c>
      <c r="D53" s="520">
        <v>0.88888888888888884</v>
      </c>
      <c r="E53" s="516">
        <v>12.89</v>
      </c>
      <c r="F53" s="522">
        <f t="shared" si="13"/>
        <v>0.90909090909090906</v>
      </c>
      <c r="G53" s="522">
        <f t="shared" si="7"/>
        <v>1</v>
      </c>
      <c r="H53" s="350">
        <f t="shared" si="0"/>
        <v>72.476073148417754</v>
      </c>
      <c r="I53" s="277">
        <f t="shared" si="1"/>
        <v>12.476073148417754</v>
      </c>
      <c r="J53" s="517">
        <v>3.5231430000000001</v>
      </c>
      <c r="K53" s="518">
        <v>4</v>
      </c>
      <c r="L53" s="522">
        <f t="shared" si="2"/>
        <v>3.2028572727272726</v>
      </c>
      <c r="M53" s="516">
        <f t="shared" si="3"/>
        <v>7.4206972898721313</v>
      </c>
      <c r="N53" s="516">
        <f t="shared" si="4"/>
        <v>6.8694000867203897</v>
      </c>
      <c r="O53" s="516">
        <f t="shared" si="5"/>
        <v>3.6363636363636362</v>
      </c>
      <c r="P53" s="516">
        <f t="shared" si="8"/>
        <v>3.2323232323232318</v>
      </c>
      <c r="Q53" s="516">
        <f t="shared" si="9"/>
        <v>0.4040404040404042</v>
      </c>
      <c r="R53" s="524">
        <f t="shared" si="6"/>
        <v>9.116031249999882E-3</v>
      </c>
      <c r="S53" s="546"/>
      <c r="T53" s="546"/>
      <c r="U53" s="546"/>
      <c r="V53" s="546"/>
      <c r="W53" s="546"/>
      <c r="X53" s="546"/>
      <c r="Y53" s="546"/>
      <c r="Z53" s="546"/>
      <c r="AA53" s="546"/>
      <c r="AB53" s="546"/>
      <c r="AC53" s="546"/>
      <c r="AD53" s="546"/>
      <c r="AE53" s="546"/>
      <c r="AF53" s="546"/>
      <c r="AG53" s="546"/>
      <c r="AH53" s="546"/>
      <c r="AI53" s="546"/>
      <c r="AJ53" s="546"/>
      <c r="AK53" s="546"/>
      <c r="AL53" s="546"/>
      <c r="AM53" s="546"/>
      <c r="AN53" s="546"/>
      <c r="AO53" s="546"/>
      <c r="AP53" s="546"/>
      <c r="AQ53" s="546"/>
      <c r="AR53" s="546"/>
      <c r="AS53" s="546"/>
      <c r="AT53" s="546"/>
      <c r="AU53" s="546"/>
      <c r="AV53" s="546"/>
      <c r="AW53" s="546"/>
      <c r="AX53" s="546"/>
      <c r="AY53" s="546"/>
      <c r="AZ53" s="546"/>
    </row>
    <row r="54" spans="1:52" ht="14">
      <c r="A54" s="552"/>
      <c r="B54" s="540" t="s">
        <v>520</v>
      </c>
      <c r="C54" s="525" t="s">
        <v>252</v>
      </c>
      <c r="D54" s="538">
        <v>0.77777777777777779</v>
      </c>
      <c r="E54" s="527">
        <v>13.05</v>
      </c>
      <c r="F54" s="531">
        <f t="shared" ref="F54" si="166">G54/(1+$I$2)</f>
        <v>0.90909090909090906</v>
      </c>
      <c r="G54" s="531">
        <f t="shared" si="7"/>
        <v>1</v>
      </c>
      <c r="H54" s="528">
        <f t="shared" ref="H54" si="167">E54+10*LOG(F54*10^6)</f>
        <v>72.636073148417751</v>
      </c>
      <c r="I54" s="529">
        <f t="shared" ref="I54" si="168">H54-10*LOG(G54*10^6)</f>
        <v>12.636073148417751</v>
      </c>
      <c r="J54" s="535">
        <v>3.8412259999999998</v>
      </c>
      <c r="K54" s="536">
        <v>5</v>
      </c>
      <c r="L54" s="531">
        <f t="shared" ref="L54" si="169">F54*J54</f>
        <v>3.4920236363636361</v>
      </c>
      <c r="M54" s="527">
        <f t="shared" ref="M54" si="170">E54-10*LOG(J54)</f>
        <v>7.2053014020126742</v>
      </c>
      <c r="N54" s="527">
        <f t="shared" ref="N54" si="171">H54-10*LOG(O54*10^6)</f>
        <v>6.0602999566398239</v>
      </c>
      <c r="O54" s="527">
        <f t="shared" ref="O54" si="172">F54*K54</f>
        <v>4.545454545454545</v>
      </c>
      <c r="P54" s="527">
        <f t="shared" ref="P54" si="173">O54*D54</f>
        <v>3.535353535353535</v>
      </c>
      <c r="Q54" s="527">
        <f t="shared" ref="Q54" si="174">O54*(1-D54)</f>
        <v>1.0101010101010099</v>
      </c>
      <c r="R54" s="537">
        <f t="shared" ref="R54" si="175">(P54-L54)/P54</f>
        <v>1.2256171428571409E-2</v>
      </c>
      <c r="S54" s="546"/>
      <c r="T54" s="546"/>
      <c r="U54" s="546"/>
      <c r="V54" s="546"/>
      <c r="W54" s="546"/>
      <c r="X54" s="546"/>
      <c r="Y54" s="546"/>
      <c r="Z54" s="546"/>
      <c r="AA54" s="546"/>
      <c r="AB54" s="546"/>
      <c r="AC54" s="546"/>
      <c r="AD54" s="546"/>
      <c r="AE54" s="546"/>
      <c r="AF54" s="546"/>
      <c r="AG54" s="546"/>
      <c r="AH54" s="546"/>
      <c r="AI54" s="546"/>
      <c r="AJ54" s="546"/>
      <c r="AK54" s="546"/>
      <c r="AL54" s="546"/>
      <c r="AM54" s="546"/>
      <c r="AN54" s="546"/>
      <c r="AO54" s="546"/>
      <c r="AP54" s="546"/>
      <c r="AQ54" s="546"/>
      <c r="AR54" s="546"/>
      <c r="AS54" s="546"/>
      <c r="AT54" s="546"/>
      <c r="AU54" s="546"/>
      <c r="AV54" s="546"/>
      <c r="AW54" s="546"/>
      <c r="AX54" s="546"/>
      <c r="AY54" s="546"/>
      <c r="AZ54" s="546"/>
    </row>
    <row r="55" spans="1:52" ht="14">
      <c r="A55" s="552"/>
      <c r="B55" s="541" t="s">
        <v>521</v>
      </c>
      <c r="C55" s="519" t="s">
        <v>251</v>
      </c>
      <c r="D55" s="520">
        <v>0.9</v>
      </c>
      <c r="E55" s="516">
        <v>13.13</v>
      </c>
      <c r="F55" s="522">
        <f t="shared" si="13"/>
        <v>0.90909090909090906</v>
      </c>
      <c r="G55" s="522">
        <f t="shared" si="7"/>
        <v>1</v>
      </c>
      <c r="H55" s="350">
        <f t="shared" si="0"/>
        <v>72.716073148417749</v>
      </c>
      <c r="I55" s="277">
        <f t="shared" si="1"/>
        <v>12.716073148417749</v>
      </c>
      <c r="J55" s="517">
        <v>3.567342</v>
      </c>
      <c r="K55" s="518">
        <v>4</v>
      </c>
      <c r="L55" s="522">
        <f t="shared" si="2"/>
        <v>3.2430381818181817</v>
      </c>
      <c r="M55" s="516">
        <f t="shared" si="3"/>
        <v>7.6065525298491998</v>
      </c>
      <c r="N55" s="516">
        <f t="shared" si="4"/>
        <v>7.1094000867203846</v>
      </c>
      <c r="O55" s="516">
        <f t="shared" si="5"/>
        <v>3.6363636363636362</v>
      </c>
      <c r="P55" s="516">
        <f t="shared" si="8"/>
        <v>3.2727272727272725</v>
      </c>
      <c r="Q55" s="516">
        <f t="shared" si="9"/>
        <v>0.36363636363636354</v>
      </c>
      <c r="R55" s="524">
        <f t="shared" si="6"/>
        <v>9.0716666666666272E-3</v>
      </c>
      <c r="S55" s="546"/>
      <c r="T55" s="546"/>
      <c r="U55" s="546"/>
      <c r="V55" s="546"/>
      <c r="W55" s="546"/>
      <c r="X55" s="546"/>
      <c r="Y55" s="546"/>
      <c r="Z55" s="546"/>
      <c r="AA55" s="546"/>
      <c r="AB55" s="546"/>
      <c r="AC55" s="546"/>
      <c r="AD55" s="546"/>
      <c r="AE55" s="546"/>
      <c r="AF55" s="546"/>
      <c r="AG55" s="546"/>
      <c r="AH55" s="546"/>
      <c r="AI55" s="546"/>
      <c r="AJ55" s="546"/>
      <c r="AK55" s="546"/>
      <c r="AL55" s="546"/>
      <c r="AM55" s="546"/>
      <c r="AN55" s="546"/>
      <c r="AO55" s="546"/>
      <c r="AP55" s="546"/>
      <c r="AQ55" s="546"/>
      <c r="AR55" s="546"/>
      <c r="AS55" s="546"/>
      <c r="AT55" s="546"/>
      <c r="AU55" s="546"/>
      <c r="AV55" s="546"/>
      <c r="AW55" s="546"/>
      <c r="AX55" s="546"/>
      <c r="AY55" s="546"/>
      <c r="AZ55" s="546"/>
    </row>
    <row r="56" spans="1:52" ht="14">
      <c r="A56" s="552"/>
      <c r="B56" s="541" t="s">
        <v>521</v>
      </c>
      <c r="C56" s="519" t="s">
        <v>252</v>
      </c>
      <c r="D56" s="520">
        <v>0.8</v>
      </c>
      <c r="E56" s="516">
        <v>13.64</v>
      </c>
      <c r="F56" s="522">
        <f t="shared" si="13"/>
        <v>0.90909090909090906</v>
      </c>
      <c r="G56" s="522">
        <f t="shared" si="7"/>
        <v>1</v>
      </c>
      <c r="H56" s="350">
        <f t="shared" si="0"/>
        <v>73.226073148417754</v>
      </c>
      <c r="I56" s="277">
        <f t="shared" si="1"/>
        <v>13.226073148417754</v>
      </c>
      <c r="J56" s="517">
        <v>3.9515709999999999</v>
      </c>
      <c r="K56" s="518">
        <v>5</v>
      </c>
      <c r="L56" s="522">
        <f t="shared" si="2"/>
        <v>3.5923372727272724</v>
      </c>
      <c r="M56" s="516">
        <f t="shared" si="3"/>
        <v>7.6723021045227782</v>
      </c>
      <c r="N56" s="516">
        <f t="shared" si="4"/>
        <v>6.6502999566398273</v>
      </c>
      <c r="O56" s="516">
        <f t="shared" si="5"/>
        <v>4.545454545454545</v>
      </c>
      <c r="P56" s="516">
        <f t="shared" si="8"/>
        <v>3.6363636363636362</v>
      </c>
      <c r="Q56" s="516">
        <f t="shared" si="9"/>
        <v>0.90909090909090884</v>
      </c>
      <c r="R56" s="524">
        <f t="shared" si="6"/>
        <v>1.2107250000000047E-2</v>
      </c>
      <c r="S56" s="546"/>
      <c r="T56" s="546"/>
      <c r="U56" s="546"/>
      <c r="V56" s="546"/>
      <c r="W56" s="546"/>
      <c r="X56" s="546"/>
      <c r="Y56" s="546"/>
      <c r="Z56" s="546"/>
      <c r="AA56" s="546"/>
      <c r="AB56" s="546"/>
      <c r="AC56" s="546"/>
      <c r="AD56" s="546"/>
      <c r="AE56" s="546"/>
      <c r="AF56" s="548" t="s">
        <v>518</v>
      </c>
      <c r="AG56" s="546"/>
      <c r="AH56" s="546"/>
      <c r="AI56" s="546"/>
      <c r="AJ56" s="546"/>
      <c r="AK56" s="546"/>
      <c r="AL56" s="546"/>
      <c r="AM56" s="546"/>
      <c r="AN56" s="546"/>
      <c r="AO56" s="546"/>
      <c r="AP56" s="546"/>
      <c r="AQ56" s="546"/>
      <c r="AR56" s="546"/>
      <c r="AS56" s="546"/>
      <c r="AT56" s="546"/>
      <c r="AU56" s="546"/>
      <c r="AV56" s="546"/>
      <c r="AW56" s="546"/>
      <c r="AX56" s="546"/>
      <c r="AY56" s="546"/>
      <c r="AZ56" s="546"/>
    </row>
    <row r="57" spans="1:52" ht="16">
      <c r="A57" s="552"/>
      <c r="B57" s="540" t="s">
        <v>520</v>
      </c>
      <c r="C57" s="525" t="s">
        <v>530</v>
      </c>
      <c r="D57" s="534" t="s">
        <v>531</v>
      </c>
      <c r="E57" s="527">
        <v>13.98</v>
      </c>
      <c r="F57" s="531">
        <f t="shared" ref="F57" si="176">G57/(1+$I$2)</f>
        <v>0.90909090909090906</v>
      </c>
      <c r="G57" s="531">
        <f t="shared" si="7"/>
        <v>1</v>
      </c>
      <c r="H57" s="528">
        <f t="shared" ref="H57" si="177">E57+10*LOG(F57*10^6)</f>
        <v>73.566073148417743</v>
      </c>
      <c r="I57" s="529">
        <f t="shared" ref="I57" si="178">H57-10*LOG(G57*10^6)</f>
        <v>13.566073148417743</v>
      </c>
      <c r="J57" s="535">
        <v>4.2064279999999998</v>
      </c>
      <c r="K57" s="536">
        <v>6</v>
      </c>
      <c r="L57" s="531">
        <f t="shared" ref="L57" si="179">F57*J57</f>
        <v>3.8240254545454544</v>
      </c>
      <c r="M57" s="527">
        <f t="shared" ref="M57" si="180">E57-10*LOG(J57)</f>
        <v>7.7408654035595594</v>
      </c>
      <c r="N57" s="527">
        <f t="shared" ref="N57" si="181">H57-10*LOG(O57*10^6)</f>
        <v>6.1984874961635654</v>
      </c>
      <c r="O57" s="527">
        <f t="shared" ref="O57" si="182">F57*K57</f>
        <v>5.4545454545454541</v>
      </c>
      <c r="P57" s="527">
        <f>O57*(32/45)</f>
        <v>3.8787878787878785</v>
      </c>
      <c r="Q57" s="527">
        <f>O57*(1-(32/45))</f>
        <v>1.5757575757575755</v>
      </c>
      <c r="R57" s="537">
        <f t="shared" ref="R57" si="183">(P57-L57)/P57</f>
        <v>1.4118437499999954E-2</v>
      </c>
      <c r="S57" s="546"/>
      <c r="T57" s="546"/>
      <c r="U57" s="546"/>
      <c r="V57" s="546"/>
      <c r="W57" s="546"/>
      <c r="X57" s="546"/>
      <c r="Y57" s="546"/>
      <c r="Z57" s="546"/>
      <c r="AA57" s="546"/>
      <c r="AB57" s="546"/>
      <c r="AC57" s="546"/>
      <c r="AD57" s="546"/>
      <c r="AE57" s="546"/>
      <c r="AF57" s="549" t="s">
        <v>516</v>
      </c>
      <c r="AG57" s="546"/>
      <c r="AH57" s="546"/>
      <c r="AI57" s="546"/>
      <c r="AJ57" s="546"/>
      <c r="AK57" s="546"/>
      <c r="AL57" s="546"/>
      <c r="AM57" s="546"/>
      <c r="AN57" s="546"/>
      <c r="AO57" s="546"/>
      <c r="AP57" s="546"/>
      <c r="AQ57" s="546"/>
      <c r="AR57" s="546"/>
      <c r="AS57" s="546"/>
      <c r="AT57" s="546"/>
      <c r="AU57" s="546"/>
      <c r="AV57" s="546"/>
      <c r="AW57" s="546"/>
      <c r="AX57" s="546"/>
      <c r="AY57" s="546"/>
      <c r="AZ57" s="546"/>
    </row>
    <row r="58" spans="1:52" ht="14">
      <c r="A58" s="552"/>
      <c r="B58" s="541" t="s">
        <v>521</v>
      </c>
      <c r="C58" s="519" t="s">
        <v>252</v>
      </c>
      <c r="D58" s="520">
        <v>0.83333333333333337</v>
      </c>
      <c r="E58" s="516">
        <v>14.28</v>
      </c>
      <c r="F58" s="522">
        <f t="shared" si="13"/>
        <v>0.90909090909090906</v>
      </c>
      <c r="G58" s="522">
        <f t="shared" si="7"/>
        <v>1</v>
      </c>
      <c r="H58" s="350">
        <f t="shared" si="0"/>
        <v>73.86607314841774</v>
      </c>
      <c r="I58" s="277">
        <f t="shared" si="1"/>
        <v>13.86607314841774</v>
      </c>
      <c r="J58" s="517">
        <v>4.1195399999999998</v>
      </c>
      <c r="K58" s="518">
        <v>5</v>
      </c>
      <c r="L58" s="522">
        <f t="shared" si="2"/>
        <v>3.7450363636363635</v>
      </c>
      <c r="M58" s="516">
        <f t="shared" si="3"/>
        <v>8.1315127586371467</v>
      </c>
      <c r="N58" s="516">
        <f t="shared" si="4"/>
        <v>7.2902999566398137</v>
      </c>
      <c r="O58" s="516">
        <f t="shared" si="5"/>
        <v>4.545454545454545</v>
      </c>
      <c r="P58" s="516">
        <f t="shared" si="8"/>
        <v>3.7878787878787876</v>
      </c>
      <c r="Q58" s="516">
        <f t="shared" si="9"/>
        <v>0.75757575757575735</v>
      </c>
      <c r="R58" s="524">
        <f t="shared" si="6"/>
        <v>1.131039999999997E-2</v>
      </c>
      <c r="S58" s="546"/>
      <c r="T58" s="546"/>
      <c r="U58" s="546"/>
      <c r="V58" s="546"/>
      <c r="W58" s="546"/>
      <c r="X58" s="546"/>
      <c r="Y58" s="546"/>
      <c r="Z58" s="546"/>
      <c r="AA58" s="546"/>
      <c r="AB58" s="546"/>
      <c r="AC58" s="546"/>
      <c r="AD58" s="546"/>
      <c r="AE58" s="546"/>
      <c r="AF58" s="546"/>
      <c r="AG58" s="546"/>
      <c r="AH58" s="546"/>
      <c r="AI58" s="546"/>
      <c r="AJ58" s="546"/>
      <c r="AK58" s="546"/>
      <c r="AL58" s="546"/>
      <c r="AM58" s="546"/>
      <c r="AN58" s="546"/>
      <c r="AO58" s="546"/>
      <c r="AP58" s="546"/>
      <c r="AQ58" s="546"/>
      <c r="AR58" s="546"/>
      <c r="AS58" s="546"/>
      <c r="AT58" s="546"/>
      <c r="AU58" s="546"/>
      <c r="AV58" s="546"/>
      <c r="AW58" s="546"/>
      <c r="AX58" s="546"/>
      <c r="AY58" s="546"/>
      <c r="AZ58" s="546"/>
    </row>
    <row r="59" spans="1:52" ht="14">
      <c r="A59" s="552"/>
      <c r="B59" s="540" t="s">
        <v>520</v>
      </c>
      <c r="C59" s="525" t="s">
        <v>530</v>
      </c>
      <c r="D59" s="538">
        <v>0.73333333333333328</v>
      </c>
      <c r="E59" s="527">
        <v>14.81</v>
      </c>
      <c r="F59" s="531">
        <f t="shared" ref="F59" si="184">G59/(1+$I$2)</f>
        <v>0.90909090909090906</v>
      </c>
      <c r="G59" s="531">
        <f t="shared" si="7"/>
        <v>1</v>
      </c>
      <c r="H59" s="528">
        <f t="shared" ref="H59" si="185">E59+10*LOG(F59*10^6)</f>
        <v>74.396073148417742</v>
      </c>
      <c r="I59" s="529">
        <f t="shared" ref="I59" si="186">H59-10*LOG(G59*10^6)</f>
        <v>14.396073148417742</v>
      </c>
      <c r="J59" s="535">
        <v>4.3386589999999998</v>
      </c>
      <c r="K59" s="536">
        <v>6</v>
      </c>
      <c r="L59" s="531">
        <f t="shared" ref="L59" si="187">F59*J59</f>
        <v>3.9442354545454541</v>
      </c>
      <c r="M59" s="527">
        <f t="shared" ref="M59" si="188">E59-10*LOG(J59)</f>
        <v>8.4364448221417838</v>
      </c>
      <c r="N59" s="527">
        <f t="shared" ref="N59" si="189">H59-10*LOG(O59*10^6)</f>
        <v>7.0284874961635637</v>
      </c>
      <c r="O59" s="527">
        <f t="shared" ref="O59" si="190">F59*K59</f>
        <v>5.4545454545454541</v>
      </c>
      <c r="P59" s="527">
        <f t="shared" ref="P59" si="191">O59*D59</f>
        <v>3.9999999999999996</v>
      </c>
      <c r="Q59" s="527">
        <f t="shared" ref="Q59" si="192">O59*(1-D59)</f>
        <v>1.4545454545454548</v>
      </c>
      <c r="R59" s="537">
        <f t="shared" ref="R59" si="193">(P59-L59)/P59</f>
        <v>1.3941136363636366E-2</v>
      </c>
      <c r="S59" s="546"/>
      <c r="T59" s="546"/>
      <c r="U59" s="546"/>
      <c r="V59" s="546"/>
      <c r="W59" s="546"/>
      <c r="X59" s="546"/>
      <c r="Y59" s="546"/>
      <c r="Z59" s="546"/>
      <c r="AA59" s="546"/>
      <c r="AB59" s="546"/>
      <c r="AC59" s="546"/>
      <c r="AD59" s="546"/>
      <c r="AE59" s="546"/>
      <c r="AF59" s="546"/>
      <c r="AG59" s="546"/>
      <c r="AH59" s="546"/>
      <c r="AI59" s="546"/>
      <c r="AJ59" s="546"/>
      <c r="AK59" s="546"/>
      <c r="AL59" s="546"/>
      <c r="AM59" s="546"/>
      <c r="AN59" s="546"/>
      <c r="AO59" s="546"/>
      <c r="AP59" s="546"/>
      <c r="AQ59" s="546"/>
      <c r="AR59" s="546"/>
      <c r="AS59" s="546"/>
      <c r="AT59" s="546"/>
      <c r="AU59" s="546"/>
      <c r="AV59" s="546"/>
      <c r="AW59" s="546"/>
      <c r="AX59" s="546"/>
      <c r="AY59" s="546"/>
      <c r="AZ59" s="546"/>
    </row>
    <row r="60" spans="1:52" ht="14">
      <c r="A60" s="552"/>
      <c r="B60" s="540" t="s">
        <v>520</v>
      </c>
      <c r="C60" s="525" t="s">
        <v>530</v>
      </c>
      <c r="D60" s="538">
        <v>0.77777777777777779</v>
      </c>
      <c r="E60" s="527">
        <v>15.47</v>
      </c>
      <c r="F60" s="531">
        <f t="shared" ref="F60" si="194">G60/(1+$I$2)</f>
        <v>0.90909090909090906</v>
      </c>
      <c r="G60" s="531">
        <f t="shared" si="7"/>
        <v>1</v>
      </c>
      <c r="H60" s="528">
        <f t="shared" ref="H60" si="195">E60+10*LOG(F60*10^6)</f>
        <v>75.056073148417752</v>
      </c>
      <c r="I60" s="529">
        <f t="shared" ref="I60" si="196">H60-10*LOG(G60*10^6)</f>
        <v>15.056073148417752</v>
      </c>
      <c r="J60" s="535">
        <v>4.6031219999999999</v>
      </c>
      <c r="K60" s="536">
        <v>6</v>
      </c>
      <c r="L60" s="531">
        <f t="shared" ref="L60" si="197">F60*J60</f>
        <v>4.1846563636363632</v>
      </c>
      <c r="M60" s="527">
        <f t="shared" ref="M60" si="198">E60-10*LOG(J60)</f>
        <v>8.8394751452061424</v>
      </c>
      <c r="N60" s="527">
        <f t="shared" ref="N60" si="199">H60-10*LOG(O60*10^6)</f>
        <v>7.6884874961635745</v>
      </c>
      <c r="O60" s="527">
        <f t="shared" ref="O60" si="200">F60*K60</f>
        <v>5.4545454545454541</v>
      </c>
      <c r="P60" s="527">
        <f t="shared" ref="P60" si="201">O60*D60</f>
        <v>4.2424242424242422</v>
      </c>
      <c r="Q60" s="527">
        <f t="shared" ref="Q60" si="202">O60*(1-D60)</f>
        <v>1.2121212121212119</v>
      </c>
      <c r="R60" s="537">
        <f t="shared" ref="R60" si="203">(P60-L60)/P60</f>
        <v>1.3616714285714345E-2</v>
      </c>
      <c r="S60" s="546"/>
      <c r="T60" s="546"/>
      <c r="U60" s="546"/>
      <c r="V60" s="546"/>
      <c r="W60" s="546"/>
      <c r="X60" s="546"/>
      <c r="Y60" s="546"/>
      <c r="Z60" s="546"/>
      <c r="AA60" s="546"/>
      <c r="AB60" s="546"/>
      <c r="AC60" s="546"/>
      <c r="AD60" s="546"/>
      <c r="AE60" s="546"/>
      <c r="AF60" s="546"/>
      <c r="AG60" s="546"/>
      <c r="AH60" s="546"/>
      <c r="AI60" s="546"/>
      <c r="AJ60" s="546"/>
      <c r="AK60" s="546"/>
      <c r="AL60" s="546"/>
      <c r="AM60" s="546"/>
      <c r="AN60" s="546"/>
      <c r="AO60" s="546"/>
      <c r="AP60" s="546"/>
      <c r="AQ60" s="546"/>
      <c r="AR60" s="546"/>
      <c r="AS60" s="546"/>
      <c r="AT60" s="546"/>
      <c r="AU60" s="546"/>
      <c r="AV60" s="546"/>
      <c r="AW60" s="546"/>
      <c r="AX60" s="546"/>
      <c r="AY60" s="546"/>
      <c r="AZ60" s="546"/>
    </row>
    <row r="61" spans="1:52" ht="14">
      <c r="A61" s="552"/>
      <c r="B61" s="541" t="s">
        <v>521</v>
      </c>
      <c r="C61" s="519" t="s">
        <v>252</v>
      </c>
      <c r="D61" s="520">
        <v>0.88888888888888884</v>
      </c>
      <c r="E61" s="516">
        <v>15.69</v>
      </c>
      <c r="F61" s="522">
        <f t="shared" si="13"/>
        <v>0.90909090909090906</v>
      </c>
      <c r="G61" s="522">
        <f t="shared" si="7"/>
        <v>1</v>
      </c>
      <c r="H61" s="350">
        <f t="shared" si="0"/>
        <v>75.276073148417751</v>
      </c>
      <c r="I61" s="277">
        <f t="shared" si="1"/>
        <v>15.276073148417751</v>
      </c>
      <c r="J61" s="517">
        <v>4.3978539999999997</v>
      </c>
      <c r="K61" s="518">
        <v>5</v>
      </c>
      <c r="L61" s="522">
        <f t="shared" si="2"/>
        <v>3.9980490909090904</v>
      </c>
      <c r="M61" s="516">
        <f t="shared" si="3"/>
        <v>9.2575919244836147</v>
      </c>
      <c r="N61" s="516">
        <f t="shared" si="4"/>
        <v>8.7002999566398245</v>
      </c>
      <c r="O61" s="516">
        <f t="shared" si="5"/>
        <v>4.545454545454545</v>
      </c>
      <c r="P61" s="516">
        <f t="shared" si="8"/>
        <v>4.0404040404040398</v>
      </c>
      <c r="Q61" s="516">
        <f t="shared" si="9"/>
        <v>0.50505050505050519</v>
      </c>
      <c r="R61" s="524">
        <f t="shared" si="6"/>
        <v>1.0482849999999962E-2</v>
      </c>
      <c r="S61" s="546"/>
      <c r="T61" s="546"/>
      <c r="U61" s="546"/>
      <c r="V61" s="546"/>
      <c r="W61" s="546"/>
      <c r="X61" s="546"/>
      <c r="Y61" s="546"/>
      <c r="Z61" s="546"/>
      <c r="AA61" s="546"/>
      <c r="AB61" s="546"/>
      <c r="AC61" s="546"/>
      <c r="AD61" s="546"/>
      <c r="AE61" s="546"/>
      <c r="AF61" s="546"/>
      <c r="AG61" s="546"/>
      <c r="AH61" s="546"/>
      <c r="AI61" s="546"/>
      <c r="AJ61" s="546"/>
      <c r="AK61" s="546"/>
      <c r="AL61" s="546"/>
      <c r="AM61" s="546"/>
      <c r="AN61" s="546"/>
      <c r="AO61" s="546"/>
      <c r="AP61" s="546"/>
      <c r="AQ61" s="546"/>
      <c r="AR61" s="546"/>
      <c r="AS61" s="546"/>
      <c r="AT61" s="546"/>
      <c r="AU61" s="546"/>
      <c r="AV61" s="546"/>
      <c r="AW61" s="546"/>
      <c r="AX61" s="546"/>
      <c r="AY61" s="546"/>
      <c r="AZ61" s="546"/>
    </row>
    <row r="62" spans="1:52" ht="14">
      <c r="A62" s="552"/>
      <c r="B62" s="540" t="s">
        <v>520</v>
      </c>
      <c r="C62" s="525" t="s">
        <v>530</v>
      </c>
      <c r="D62" s="538">
        <v>0.8</v>
      </c>
      <c r="E62" s="527">
        <v>15.87</v>
      </c>
      <c r="F62" s="531">
        <f t="shared" ref="F62" si="204">G62/(1+$I$2)</f>
        <v>0.90909090909090906</v>
      </c>
      <c r="G62" s="531">
        <f t="shared" si="7"/>
        <v>1</v>
      </c>
      <c r="H62" s="539">
        <f t="shared" ref="H62" si="205">E62+10*LOG(F62*10^6)</f>
        <v>75.456073148417744</v>
      </c>
      <c r="I62" s="529">
        <f t="shared" ref="I62" si="206">H62-10*LOG(G62*10^6)</f>
        <v>15.456073148417744</v>
      </c>
      <c r="J62" s="535">
        <v>4.7353540000000001</v>
      </c>
      <c r="K62" s="536">
        <v>6</v>
      </c>
      <c r="L62" s="531">
        <f t="shared" ref="L62" si="207">F62*J62</f>
        <v>4.3048672727272725</v>
      </c>
      <c r="M62" s="527">
        <f t="shared" ref="M62" si="208">E62-10*LOG(J62)</f>
        <v>9.1164754897329807</v>
      </c>
      <c r="N62" s="527">
        <f t="shared" ref="N62" si="209">H62-10*LOG(O62*10^6)</f>
        <v>8.088487496163566</v>
      </c>
      <c r="O62" s="527">
        <f t="shared" ref="O62" si="210">F62*K62</f>
        <v>5.4545454545454541</v>
      </c>
      <c r="P62" s="527">
        <f t="shared" ref="P62" si="211">O62*D62</f>
        <v>4.3636363636363633</v>
      </c>
      <c r="Q62" s="527">
        <f t="shared" ref="Q62" si="212">O62*(1-D62)</f>
        <v>1.0909090909090906</v>
      </c>
      <c r="R62" s="537">
        <f t="shared" ref="R62" si="213">(P62-L62)/P62</f>
        <v>1.3467916666666637E-2</v>
      </c>
      <c r="S62" s="546"/>
      <c r="T62" s="546"/>
      <c r="U62" s="546"/>
      <c r="V62" s="546"/>
      <c r="W62" s="546"/>
      <c r="X62" s="546"/>
      <c r="Y62" s="546"/>
      <c r="Z62" s="546"/>
      <c r="AA62" s="546"/>
      <c r="AB62" s="546"/>
      <c r="AC62" s="546"/>
      <c r="AD62" s="546"/>
      <c r="AE62" s="546"/>
      <c r="AF62" s="546"/>
      <c r="AG62" s="546"/>
      <c r="AH62" s="546"/>
      <c r="AI62" s="546"/>
      <c r="AJ62" s="546"/>
      <c r="AK62" s="546"/>
      <c r="AL62" s="546"/>
      <c r="AM62" s="546"/>
      <c r="AN62" s="546"/>
      <c r="AO62" s="546"/>
      <c r="AP62" s="546"/>
      <c r="AQ62" s="546"/>
      <c r="AR62" s="546"/>
      <c r="AS62" s="546"/>
      <c r="AT62" s="546"/>
      <c r="AU62" s="546"/>
      <c r="AV62" s="546"/>
      <c r="AW62" s="546"/>
      <c r="AX62" s="546"/>
      <c r="AY62" s="546"/>
      <c r="AZ62" s="546"/>
    </row>
    <row r="63" spans="1:52" ht="14">
      <c r="A63" s="552"/>
      <c r="B63" s="541" t="s">
        <v>521</v>
      </c>
      <c r="C63" s="519" t="s">
        <v>252</v>
      </c>
      <c r="D63" s="520">
        <v>0.9</v>
      </c>
      <c r="E63" s="516">
        <v>16.05</v>
      </c>
      <c r="F63" s="522">
        <f t="shared" si="13"/>
        <v>0.90909090909090906</v>
      </c>
      <c r="G63" s="522">
        <f t="shared" si="7"/>
        <v>1</v>
      </c>
      <c r="H63" s="350">
        <f t="shared" si="0"/>
        <v>75.636073148417751</v>
      </c>
      <c r="I63" s="277">
        <f t="shared" si="1"/>
        <v>15.636073148417751</v>
      </c>
      <c r="J63" s="517">
        <v>4.4530269999999996</v>
      </c>
      <c r="K63" s="518">
        <v>5</v>
      </c>
      <c r="L63" s="522">
        <f t="shared" si="2"/>
        <v>4.0482063636363632</v>
      </c>
      <c r="M63" s="516">
        <f t="shared" si="3"/>
        <v>9.5634467160682739</v>
      </c>
      <c r="N63" s="516">
        <f t="shared" si="4"/>
        <v>9.0602999566398239</v>
      </c>
      <c r="O63" s="516">
        <f t="shared" si="5"/>
        <v>4.545454545454545</v>
      </c>
      <c r="P63" s="516">
        <f t="shared" si="8"/>
        <v>4.0909090909090908</v>
      </c>
      <c r="Q63" s="516">
        <f t="shared" si="9"/>
        <v>0.45454545454545442</v>
      </c>
      <c r="R63" s="524">
        <f t="shared" si="6"/>
        <v>1.0438444444444528E-2</v>
      </c>
      <c r="S63" s="546"/>
      <c r="T63" s="546"/>
      <c r="U63" s="546"/>
      <c r="V63" s="546"/>
      <c r="W63" s="546"/>
      <c r="X63" s="546"/>
      <c r="Y63" s="546"/>
      <c r="Z63" s="546"/>
      <c r="AA63" s="546"/>
      <c r="AB63" s="546"/>
      <c r="AC63" s="546"/>
      <c r="AD63" s="546"/>
      <c r="AE63" s="546"/>
      <c r="AF63" s="546"/>
      <c r="AG63" s="546"/>
      <c r="AH63" s="546"/>
      <c r="AI63" s="546"/>
      <c r="AJ63" s="546"/>
      <c r="AK63" s="546"/>
      <c r="AL63" s="546"/>
      <c r="AM63" s="546"/>
      <c r="AN63" s="546"/>
      <c r="AO63" s="546"/>
      <c r="AP63" s="546"/>
      <c r="AQ63" s="546"/>
      <c r="AR63" s="546"/>
      <c r="AS63" s="546"/>
      <c r="AT63" s="546"/>
      <c r="AU63" s="546"/>
      <c r="AV63" s="546"/>
      <c r="AW63" s="546"/>
      <c r="AX63" s="546"/>
      <c r="AY63" s="546"/>
      <c r="AZ63" s="546"/>
    </row>
    <row r="64" spans="1:52" ht="14">
      <c r="A64" s="552"/>
      <c r="B64" s="540" t="s">
        <v>520</v>
      </c>
      <c r="C64" s="525" t="s">
        <v>530</v>
      </c>
      <c r="D64" s="538">
        <v>0.83333333333333337</v>
      </c>
      <c r="E64" s="527">
        <v>16.55</v>
      </c>
      <c r="F64" s="531">
        <f t="shared" ref="F64" si="214">G64/(1+$I$2)</f>
        <v>0.90909090909090906</v>
      </c>
      <c r="G64" s="531">
        <f t="shared" si="7"/>
        <v>1</v>
      </c>
      <c r="H64" s="528">
        <f t="shared" ref="H64" si="215">E64+10*LOG(F64*10^6)</f>
        <v>76.136073148417751</v>
      </c>
      <c r="I64" s="529">
        <f t="shared" ref="I64" si="216">H64-10*LOG(G64*10^6)</f>
        <v>16.136073148417751</v>
      </c>
      <c r="J64" s="535">
        <v>4.9337010000000001</v>
      </c>
      <c r="K64" s="536">
        <v>6</v>
      </c>
      <c r="L64" s="531">
        <f t="shared" ref="L64" si="217">F64*J64</f>
        <v>4.4851827272727274</v>
      </c>
      <c r="M64" s="527">
        <f t="shared" ref="M64" si="218">E64-10*LOG(J64)</f>
        <v>9.6182717385415089</v>
      </c>
      <c r="N64" s="527">
        <f t="shared" ref="N64" si="219">H64-10*LOG(O64*10^6)</f>
        <v>8.7684874961635728</v>
      </c>
      <c r="O64" s="527">
        <f t="shared" ref="O64" si="220">F64*K64</f>
        <v>5.4545454545454541</v>
      </c>
      <c r="P64" s="527">
        <f t="shared" ref="P64" si="221">O64*D64</f>
        <v>4.545454545454545</v>
      </c>
      <c r="Q64" s="527">
        <f t="shared" ref="Q64" si="222">O64*(1-D64)</f>
        <v>0.90909090909090884</v>
      </c>
      <c r="R64" s="537">
        <f t="shared" ref="R64" si="223">(P64-L64)/P64</f>
        <v>1.3259799999999872E-2</v>
      </c>
      <c r="S64" s="546"/>
      <c r="T64" s="546"/>
      <c r="U64" s="546"/>
      <c r="V64" s="546"/>
      <c r="W64" s="546"/>
      <c r="X64" s="546"/>
      <c r="Y64" s="546"/>
      <c r="Z64" s="546"/>
      <c r="AA64" s="546"/>
      <c r="AB64" s="546"/>
      <c r="AC64" s="546"/>
      <c r="AD64" s="546"/>
      <c r="AE64" s="546"/>
      <c r="AF64" s="546"/>
      <c r="AG64" s="546"/>
      <c r="AH64" s="546"/>
      <c r="AI64" s="546"/>
      <c r="AJ64" s="546"/>
      <c r="AK64" s="546"/>
      <c r="AL64" s="546"/>
      <c r="AM64" s="546"/>
      <c r="AN64" s="546"/>
      <c r="AO64" s="546"/>
      <c r="AP64" s="546"/>
      <c r="AQ64" s="546"/>
      <c r="AR64" s="546"/>
      <c r="AS64" s="546"/>
      <c r="AT64" s="546"/>
      <c r="AU64" s="546"/>
      <c r="AV64" s="546"/>
      <c r="AW64" s="546"/>
      <c r="AX64" s="546"/>
      <c r="AY64" s="546"/>
      <c r="AZ64" s="546"/>
    </row>
    <row r="65" spans="1:52" ht="14">
      <c r="A65" s="552"/>
      <c r="B65" s="540" t="s">
        <v>520</v>
      </c>
      <c r="C65" s="525" t="s">
        <v>533</v>
      </c>
      <c r="D65" s="534" t="s">
        <v>534</v>
      </c>
      <c r="E65" s="527">
        <v>16.98</v>
      </c>
      <c r="F65" s="531">
        <f t="shared" ref="F65" si="224">G65/(1+$I$2)</f>
        <v>0.90909090909090906</v>
      </c>
      <c r="G65" s="531">
        <f t="shared" si="7"/>
        <v>1</v>
      </c>
      <c r="H65" s="528">
        <f t="shared" ref="H65" si="225">E65+10*LOG(F65*10^6)</f>
        <v>76.566073148417743</v>
      </c>
      <c r="I65" s="529">
        <f t="shared" ref="I65" si="226">H65-10*LOG(G65*10^6)</f>
        <v>16.566073148417743</v>
      </c>
      <c r="J65" s="535">
        <v>5.06569</v>
      </c>
      <c r="K65" s="536">
        <v>8</v>
      </c>
      <c r="L65" s="531">
        <f t="shared" ref="L65" si="227">F65*J65</f>
        <v>4.605172727272727</v>
      </c>
      <c r="M65" s="527">
        <f t="shared" ref="M65" si="228">E65-10*LOG(J65)</f>
        <v>9.9336139082039274</v>
      </c>
      <c r="N65" s="527">
        <f t="shared" ref="N65" si="229">H65-10*LOG(O65*10^6)</f>
        <v>7.9491001300805664</v>
      </c>
      <c r="O65" s="527">
        <f t="shared" ref="O65" si="230">F65*K65</f>
        <v>7.2727272727272725</v>
      </c>
      <c r="P65" s="527">
        <f>O65*(29/45)</f>
        <v>4.6868686868686869</v>
      </c>
      <c r="Q65" s="527">
        <f>O65*(1-(29/45))</f>
        <v>2.5858585858585856</v>
      </c>
      <c r="R65" s="537">
        <f t="shared" ref="R65" si="231">(P65-L65)/P65</f>
        <v>1.7430818965517302E-2</v>
      </c>
      <c r="S65" s="546"/>
      <c r="T65" s="546"/>
      <c r="U65" s="546"/>
      <c r="V65" s="546"/>
      <c r="W65" s="546"/>
      <c r="X65" s="546"/>
      <c r="Y65" s="546"/>
      <c r="Z65" s="546"/>
      <c r="AA65" s="546"/>
      <c r="AB65" s="546"/>
      <c r="AC65" s="546"/>
      <c r="AD65" s="546"/>
      <c r="AE65" s="546"/>
      <c r="AF65" s="546"/>
      <c r="AG65" s="546"/>
      <c r="AH65" s="546"/>
      <c r="AI65" s="546"/>
      <c r="AJ65" s="546"/>
      <c r="AK65" s="546"/>
      <c r="AL65" s="546"/>
      <c r="AM65" s="546"/>
      <c r="AN65" s="546"/>
      <c r="AO65" s="546"/>
      <c r="AP65" s="546"/>
      <c r="AQ65" s="546"/>
      <c r="AR65" s="546"/>
      <c r="AS65" s="546"/>
      <c r="AT65" s="546"/>
      <c r="AU65" s="546"/>
      <c r="AV65" s="546"/>
      <c r="AW65" s="546"/>
      <c r="AX65" s="546"/>
      <c r="AY65" s="546"/>
      <c r="AZ65" s="546"/>
    </row>
    <row r="66" spans="1:52" ht="14">
      <c r="A66" s="552"/>
      <c r="B66" s="540" t="s">
        <v>520</v>
      </c>
      <c r="C66" s="525" t="s">
        <v>533</v>
      </c>
      <c r="D66" s="534" t="s">
        <v>529</v>
      </c>
      <c r="E66" s="527">
        <v>17.239999999999998</v>
      </c>
      <c r="F66" s="531">
        <f t="shared" ref="F66" si="232">G66/(1+$I$2)</f>
        <v>0.90909090909090906</v>
      </c>
      <c r="G66" s="531">
        <f t="shared" si="7"/>
        <v>1</v>
      </c>
      <c r="H66" s="528">
        <f t="shared" ref="H66" si="233">E66+10*LOG(F66*10^6)</f>
        <v>76.826073148417748</v>
      </c>
      <c r="I66" s="529">
        <f t="shared" ref="I66" si="234">H66-10*LOG(G66*10^6)</f>
        <v>16.826073148417748</v>
      </c>
      <c r="J66" s="535">
        <v>5.2415139999999996</v>
      </c>
      <c r="K66" s="536">
        <v>8</v>
      </c>
      <c r="L66" s="531">
        <f t="shared" ref="L66" si="235">F66*J66</f>
        <v>4.765012727272727</v>
      </c>
      <c r="M66" s="527">
        <f t="shared" ref="M66" si="236">E66-10*LOG(J66)</f>
        <v>10.045432498722704</v>
      </c>
      <c r="N66" s="527">
        <f t="shared" ref="N66" si="237">H66-10*LOG(O66*10^6)</f>
        <v>8.2091001300805715</v>
      </c>
      <c r="O66" s="527">
        <f t="shared" ref="O66" si="238">F66*K66</f>
        <v>7.2727272727272725</v>
      </c>
      <c r="P66" s="527">
        <f>O66*(29/45)</f>
        <v>4.6868686868686869</v>
      </c>
      <c r="Q66" s="527">
        <f>O66*(1-(29/45))</f>
        <v>2.5858585858585856</v>
      </c>
      <c r="R66" s="537">
        <f t="shared" ref="R66" si="239">(P66-L66)/P66</f>
        <v>-1.6672974137930972E-2</v>
      </c>
      <c r="S66" s="546"/>
      <c r="T66" s="546"/>
      <c r="U66" s="546"/>
      <c r="V66" s="546"/>
      <c r="W66" s="546"/>
      <c r="X66" s="546"/>
      <c r="Y66" s="546"/>
      <c r="Z66" s="546"/>
      <c r="AA66" s="546"/>
      <c r="AB66" s="546"/>
      <c r="AC66" s="546"/>
      <c r="AD66" s="546"/>
      <c r="AE66" s="546"/>
      <c r="AF66" s="546"/>
      <c r="AG66" s="546"/>
      <c r="AH66" s="546"/>
      <c r="AI66" s="546"/>
      <c r="AJ66" s="546"/>
      <c r="AK66" s="546"/>
      <c r="AL66" s="546"/>
      <c r="AM66" s="546"/>
      <c r="AN66" s="546"/>
      <c r="AO66" s="546"/>
      <c r="AP66" s="546"/>
      <c r="AQ66" s="546"/>
      <c r="AR66" s="546"/>
      <c r="AS66" s="546"/>
      <c r="AT66" s="546"/>
      <c r="AU66" s="546"/>
      <c r="AV66" s="546"/>
      <c r="AW66" s="546"/>
      <c r="AX66" s="546"/>
      <c r="AY66" s="546"/>
      <c r="AZ66" s="546"/>
    </row>
    <row r="67" spans="1:52" ht="14">
      <c r="A67" s="552"/>
      <c r="B67" s="540" t="s">
        <v>520</v>
      </c>
      <c r="C67" s="525" t="s">
        <v>532</v>
      </c>
      <c r="D67" s="538">
        <v>0.75</v>
      </c>
      <c r="E67" s="527">
        <v>17.73</v>
      </c>
      <c r="F67" s="531">
        <f t="shared" ref="F67" si="240">G67/(1+$I$2)</f>
        <v>0.90909090909090906</v>
      </c>
      <c r="G67" s="531">
        <f t="shared" si="7"/>
        <v>1</v>
      </c>
      <c r="H67" s="528">
        <f t="shared" ref="H67" si="241">E67+10*LOG(F67*10^6)</f>
        <v>77.316073148417743</v>
      </c>
      <c r="I67" s="529">
        <f t="shared" ref="I67" si="242">H67-10*LOG(G67*10^6)</f>
        <v>17.316073148417743</v>
      </c>
      <c r="J67" s="535">
        <v>5.1632480000000003</v>
      </c>
      <c r="K67" s="536">
        <v>7</v>
      </c>
      <c r="L67" s="531">
        <f t="shared" ref="L67" si="243">F67*J67</f>
        <v>4.6938618181818184</v>
      </c>
      <c r="M67" s="527">
        <f t="shared" ref="M67" si="244">E67-10*LOG(J67)</f>
        <v>10.600770145141102</v>
      </c>
      <c r="N67" s="527">
        <f t="shared" ref="N67" si="245">H67-10*LOG(O67*10^6)</f>
        <v>9.2790195998574205</v>
      </c>
      <c r="O67" s="527">
        <f t="shared" ref="O67" si="246">F67*K67</f>
        <v>6.3636363636363633</v>
      </c>
      <c r="P67" s="527">
        <f t="shared" ref="P67" si="247">O67*D67</f>
        <v>4.7727272727272725</v>
      </c>
      <c r="Q67" s="527">
        <f t="shared" ref="Q67" si="248">O67*(1-D67)</f>
        <v>1.5909090909090908</v>
      </c>
      <c r="R67" s="537">
        <f t="shared" ref="R67" si="249">(P67-L67)/P67</f>
        <v>1.652419047619039E-2</v>
      </c>
      <c r="S67" s="546"/>
      <c r="T67" s="546"/>
      <c r="U67" s="546"/>
      <c r="V67" s="546"/>
      <c r="W67" s="546"/>
      <c r="X67" s="546"/>
      <c r="Y67" s="546"/>
      <c r="Z67" s="546"/>
      <c r="AA67" s="546"/>
      <c r="AB67" s="546"/>
      <c r="AC67" s="546"/>
      <c r="AD67" s="546"/>
      <c r="AE67" s="546"/>
      <c r="AF67" s="546"/>
      <c r="AG67" s="546"/>
      <c r="AH67" s="546"/>
      <c r="AI67" s="546"/>
      <c r="AJ67" s="546"/>
      <c r="AK67" s="546"/>
      <c r="AL67" s="546"/>
      <c r="AM67" s="546"/>
      <c r="AN67" s="546"/>
      <c r="AO67" s="546"/>
      <c r="AP67" s="546"/>
      <c r="AQ67" s="546"/>
      <c r="AR67" s="546"/>
      <c r="AS67" s="546"/>
      <c r="AT67" s="546"/>
      <c r="AU67" s="546"/>
      <c r="AV67" s="546"/>
      <c r="AW67" s="546"/>
      <c r="AX67" s="546"/>
      <c r="AY67" s="546"/>
      <c r="AZ67" s="546"/>
    </row>
    <row r="68" spans="1:52" ht="14">
      <c r="A68" s="552"/>
      <c r="B68" s="540" t="s">
        <v>520</v>
      </c>
      <c r="C68" s="525" t="s">
        <v>533</v>
      </c>
      <c r="D68" s="534" t="s">
        <v>535</v>
      </c>
      <c r="E68" s="527">
        <v>18.100000000000001</v>
      </c>
      <c r="F68" s="531">
        <f t="shared" ref="F68" si="250">G68/(1+$I$2)</f>
        <v>0.90909090909090906</v>
      </c>
      <c r="G68" s="531">
        <f t="shared" si="7"/>
        <v>1</v>
      </c>
      <c r="H68" s="528">
        <f t="shared" ref="H68" si="251">E68+10*LOG(F68*10^6)</f>
        <v>77.686073148417748</v>
      </c>
      <c r="I68" s="529">
        <f t="shared" ref="I68" si="252">H68-10*LOG(G68*10^6)</f>
        <v>17.686073148417748</v>
      </c>
      <c r="J68" s="535">
        <v>5.417338</v>
      </c>
      <c r="K68" s="536">
        <v>8</v>
      </c>
      <c r="L68" s="531">
        <f t="shared" ref="L68" si="253">F68*J68</f>
        <v>4.9248527272727269</v>
      </c>
      <c r="M68" s="527">
        <f t="shared" ref="M68" si="254">E68-10*LOG(J68)</f>
        <v>10.762140669500949</v>
      </c>
      <c r="N68" s="527">
        <f t="shared" ref="N68" si="255">H68-10*LOG(O68*10^6)</f>
        <v>9.0691001300805709</v>
      </c>
      <c r="O68" s="527">
        <f t="shared" ref="O68" si="256">F68*K68</f>
        <v>7.2727272727272725</v>
      </c>
      <c r="P68" s="527">
        <f>O68*(31/45)</f>
        <v>5.0101010101010095</v>
      </c>
      <c r="Q68" s="527">
        <f>O68*(1-(31/45))</f>
        <v>2.2626262626262625</v>
      </c>
      <c r="R68" s="537">
        <f t="shared" ref="R68" si="257">(P68-L68)/P68</f>
        <v>1.7015282258064465E-2</v>
      </c>
      <c r="S68" s="546"/>
      <c r="T68" s="546"/>
      <c r="U68" s="546"/>
      <c r="V68" s="546"/>
      <c r="W68" s="546"/>
      <c r="X68" s="546"/>
      <c r="Y68" s="546"/>
      <c r="Z68" s="546"/>
      <c r="AA68" s="546"/>
      <c r="AB68" s="546"/>
      <c r="AC68" s="546"/>
      <c r="AD68" s="546"/>
      <c r="AE68" s="546"/>
      <c r="AF68" s="546"/>
      <c r="AG68" s="546"/>
      <c r="AH68" s="546"/>
      <c r="AI68" s="546"/>
      <c r="AJ68" s="546"/>
      <c r="AK68" s="546"/>
      <c r="AL68" s="546"/>
      <c r="AM68" s="546"/>
      <c r="AN68" s="546"/>
      <c r="AO68" s="546"/>
      <c r="AP68" s="546"/>
      <c r="AQ68" s="546"/>
      <c r="AR68" s="546"/>
      <c r="AS68" s="546"/>
      <c r="AT68" s="546"/>
      <c r="AU68" s="546"/>
      <c r="AV68" s="546"/>
      <c r="AW68" s="546"/>
      <c r="AX68" s="546"/>
      <c r="AY68" s="546"/>
      <c r="AZ68" s="546"/>
    </row>
    <row r="69" spans="1:52" ht="14">
      <c r="A69" s="552"/>
      <c r="B69" s="540" t="s">
        <v>520</v>
      </c>
      <c r="C69" s="525" t="s">
        <v>532</v>
      </c>
      <c r="D69" s="538">
        <v>0.77777777777777779</v>
      </c>
      <c r="E69" s="527">
        <v>18.53</v>
      </c>
      <c r="F69" s="531">
        <f t="shared" ref="F69" si="258">G69/(1+$I$2)</f>
        <v>0.90909090909090906</v>
      </c>
      <c r="G69" s="531">
        <f t="shared" si="7"/>
        <v>1</v>
      </c>
      <c r="H69" s="528">
        <f t="shared" ref="H69" si="259">E69+10*LOG(F69*10^6)</f>
        <v>78.11607314841774</v>
      </c>
      <c r="I69" s="529">
        <f t="shared" ref="I69" si="260">H69-10*LOG(G69*10^6)</f>
        <v>18.11607314841774</v>
      </c>
      <c r="J69" s="535">
        <v>5.355556</v>
      </c>
      <c r="K69" s="536">
        <v>7</v>
      </c>
      <c r="L69" s="531">
        <f t="shared" ref="L69" si="261">F69*J69</f>
        <v>4.8686872727272723</v>
      </c>
      <c r="M69" s="527">
        <f t="shared" ref="M69" si="262">E69-10*LOG(J69)</f>
        <v>11.241954351594412</v>
      </c>
      <c r="N69" s="527">
        <f t="shared" ref="N69" si="263">H69-10*LOG(O69*10^6)</f>
        <v>10.079019599857418</v>
      </c>
      <c r="O69" s="527">
        <f t="shared" ref="O69" si="264">F69*K69</f>
        <v>6.3636363636363633</v>
      </c>
      <c r="P69" s="527">
        <f t="shared" ref="P69" si="265">O69*D69</f>
        <v>4.9494949494949489</v>
      </c>
      <c r="Q69" s="527">
        <f t="shared" ref="Q69" si="266">O69*(1-D69)</f>
        <v>1.4141414141414139</v>
      </c>
      <c r="R69" s="537">
        <f t="shared" ref="R69" si="267">(P69-L69)/P69</f>
        <v>1.6326448979591814E-2</v>
      </c>
      <c r="S69" s="546"/>
      <c r="T69" s="546"/>
      <c r="U69" s="546"/>
      <c r="V69" s="546"/>
      <c r="W69" s="546"/>
      <c r="X69" s="546"/>
      <c r="Y69" s="546"/>
      <c r="Z69" s="546"/>
      <c r="AA69" s="546"/>
      <c r="AB69" s="546"/>
      <c r="AC69" s="546"/>
      <c r="AD69" s="546"/>
      <c r="AE69" s="546"/>
      <c r="AF69" s="546"/>
      <c r="AG69" s="546"/>
      <c r="AH69" s="546"/>
      <c r="AI69" s="546"/>
      <c r="AJ69" s="546"/>
      <c r="AK69" s="546"/>
      <c r="AL69" s="546"/>
      <c r="AM69" s="546"/>
      <c r="AN69" s="546"/>
      <c r="AO69" s="546"/>
      <c r="AP69" s="546"/>
      <c r="AQ69" s="546"/>
      <c r="AR69" s="546"/>
      <c r="AS69" s="546"/>
      <c r="AT69" s="546"/>
      <c r="AU69" s="546"/>
      <c r="AV69" s="546"/>
      <c r="AW69" s="546"/>
      <c r="AX69" s="546"/>
      <c r="AY69" s="546"/>
      <c r="AZ69" s="546"/>
    </row>
    <row r="70" spans="1:52" ht="14">
      <c r="A70" s="552"/>
      <c r="B70" s="540" t="s">
        <v>520</v>
      </c>
      <c r="C70" s="525" t="s">
        <v>533</v>
      </c>
      <c r="D70" s="538">
        <v>0.71111111111111114</v>
      </c>
      <c r="E70" s="527">
        <v>18.59</v>
      </c>
      <c r="F70" s="531">
        <f t="shared" ref="F70" si="268">G70/(1+$I$2)</f>
        <v>0.90909090909090906</v>
      </c>
      <c r="G70" s="531">
        <f t="shared" si="7"/>
        <v>1</v>
      </c>
      <c r="H70" s="528">
        <f t="shared" ref="H70" si="269">E70+10*LOG(F70*10^6)</f>
        <v>78.176073148417743</v>
      </c>
      <c r="I70" s="529">
        <f t="shared" ref="I70" si="270">H70-10*LOG(G70*10^6)</f>
        <v>18.176073148417743</v>
      </c>
      <c r="J70" s="535">
        <v>5.5931620000000004</v>
      </c>
      <c r="K70" s="536">
        <v>8</v>
      </c>
      <c r="L70" s="531">
        <f t="shared" ref="L70" si="271">F70*J70</f>
        <v>5.0846927272727278</v>
      </c>
      <c r="M70" s="527">
        <f t="shared" ref="M70" si="272">E70-10*LOG(J70)</f>
        <v>11.113426016109312</v>
      </c>
      <c r="N70" s="527">
        <f t="shared" ref="N70" si="273">H70-10*LOG(O70*10^6)</f>
        <v>9.5591001300805658</v>
      </c>
      <c r="O70" s="527">
        <f t="shared" ref="O70" si="274">F70*K70</f>
        <v>7.2727272727272725</v>
      </c>
      <c r="P70" s="527">
        <f t="shared" ref="P70" si="275">O70*D70</f>
        <v>5.1717171717171722</v>
      </c>
      <c r="Q70" s="527">
        <f t="shared" ref="Q70" si="276">O70*(1-D70)</f>
        <v>2.1010101010101008</v>
      </c>
      <c r="R70" s="537">
        <f t="shared" ref="R70" si="277">(P70-L70)/P70</f>
        <v>1.682699218749998E-2</v>
      </c>
      <c r="S70" s="546"/>
      <c r="T70" s="546"/>
      <c r="U70" s="546"/>
      <c r="V70" s="546"/>
      <c r="W70" s="546"/>
      <c r="X70" s="546"/>
      <c r="Y70" s="546"/>
      <c r="Z70" s="546"/>
      <c r="AA70" s="546"/>
      <c r="AB70" s="546"/>
      <c r="AC70" s="546"/>
      <c r="AD70" s="546"/>
      <c r="AE70" s="546"/>
      <c r="AF70" s="546"/>
      <c r="AG70" s="546"/>
      <c r="AH70" s="546"/>
      <c r="AI70" s="546"/>
      <c r="AJ70" s="546"/>
      <c r="AK70" s="546"/>
      <c r="AL70" s="546"/>
      <c r="AM70" s="546"/>
      <c r="AN70" s="546"/>
      <c r="AO70" s="546"/>
      <c r="AP70" s="546"/>
      <c r="AQ70" s="546"/>
      <c r="AR70" s="546"/>
      <c r="AS70" s="546"/>
      <c r="AT70" s="546"/>
      <c r="AU70" s="546"/>
      <c r="AV70" s="546"/>
      <c r="AW70" s="546"/>
      <c r="AX70" s="546"/>
      <c r="AY70" s="546"/>
      <c r="AZ70" s="546"/>
    </row>
    <row r="71" spans="1:52" ht="14">
      <c r="A71" s="552"/>
      <c r="B71" s="540" t="s">
        <v>520</v>
      </c>
      <c r="C71" s="525" t="s">
        <v>533</v>
      </c>
      <c r="D71" s="534" t="s">
        <v>536</v>
      </c>
      <c r="E71" s="527">
        <v>18.84</v>
      </c>
      <c r="F71" s="531">
        <f t="shared" ref="F71" si="278">G71/(1+$I$2)</f>
        <v>0.90909090909090906</v>
      </c>
      <c r="G71" s="531">
        <f t="shared" si="7"/>
        <v>1</v>
      </c>
      <c r="H71" s="528">
        <f t="shared" ref="H71" si="279">E71+10*LOG(F71*10^6)</f>
        <v>78.426073148417743</v>
      </c>
      <c r="I71" s="529">
        <f t="shared" ref="I71" si="280">H71-10*LOG(G71*10^6)</f>
        <v>18.426073148417743</v>
      </c>
      <c r="J71" s="535">
        <v>5.7689870000000001</v>
      </c>
      <c r="K71" s="536">
        <v>8</v>
      </c>
      <c r="L71" s="531">
        <f t="shared" ref="L71" si="281">F71*J71</f>
        <v>5.2445336363636361</v>
      </c>
      <c r="M71" s="527">
        <f t="shared" ref="M71" si="282">E71-10*LOG(J71)</f>
        <v>11.229004396923388</v>
      </c>
      <c r="N71" s="527">
        <f t="shared" ref="N71" si="283">H71-10*LOG(O71*10^6)</f>
        <v>9.8091001300805658</v>
      </c>
      <c r="O71" s="527">
        <f t="shared" ref="O71" si="284">F71*K71</f>
        <v>7.2727272727272725</v>
      </c>
      <c r="P71" s="527">
        <f>O71*(11/15)</f>
        <v>5.333333333333333</v>
      </c>
      <c r="Q71" s="527">
        <f>O71*(1-(11/15))</f>
        <v>1.9393939393939397</v>
      </c>
      <c r="R71" s="537">
        <f t="shared" ref="R71" si="285">(P71-L71)/P71</f>
        <v>1.6649943181818172E-2</v>
      </c>
      <c r="S71" s="546"/>
      <c r="T71" s="546"/>
      <c r="U71" s="546"/>
      <c r="V71" s="546"/>
      <c r="W71" s="546"/>
      <c r="X71" s="546"/>
      <c r="Y71" s="546"/>
      <c r="Z71" s="546"/>
      <c r="AA71" s="546"/>
      <c r="AB71" s="546"/>
      <c r="AC71" s="546"/>
      <c r="AD71" s="546"/>
      <c r="AE71" s="546"/>
      <c r="AF71" s="546"/>
      <c r="AG71" s="546"/>
      <c r="AH71" s="546"/>
      <c r="AI71" s="546"/>
      <c r="AJ71" s="546"/>
      <c r="AK71" s="546"/>
      <c r="AL71" s="546"/>
      <c r="AM71" s="546"/>
      <c r="AN71" s="546"/>
      <c r="AO71" s="546"/>
      <c r="AP71" s="546"/>
      <c r="AQ71" s="546"/>
      <c r="AR71" s="546"/>
      <c r="AS71" s="546"/>
      <c r="AT71" s="546"/>
      <c r="AU71" s="546"/>
      <c r="AV71" s="546"/>
      <c r="AW71" s="546"/>
      <c r="AX71" s="546"/>
      <c r="AY71" s="546"/>
      <c r="AZ71" s="546"/>
    </row>
    <row r="72" spans="1:52" ht="14">
      <c r="A72" s="552"/>
      <c r="B72" s="540" t="s">
        <v>520</v>
      </c>
      <c r="C72" s="525" t="s">
        <v>533</v>
      </c>
      <c r="D72" s="534">
        <v>0.75</v>
      </c>
      <c r="E72" s="527">
        <v>19.57</v>
      </c>
      <c r="F72" s="531">
        <f t="shared" ref="F72" si="286">G72/(1+$I$2)</f>
        <v>0.90909090909090906</v>
      </c>
      <c r="G72" s="531">
        <f t="shared" si="7"/>
        <v>1</v>
      </c>
      <c r="H72" s="528">
        <f t="shared" ref="H72" si="287">E72+10*LOG(F72*10^6)</f>
        <v>79.156073148417747</v>
      </c>
      <c r="I72" s="529">
        <f t="shared" ref="I72" si="288">H72-10*LOG(G72*10^6)</f>
        <v>19.156073148417747</v>
      </c>
      <c r="J72" s="535">
        <v>5.900855</v>
      </c>
      <c r="K72" s="536">
        <v>8</v>
      </c>
      <c r="L72" s="531">
        <f t="shared" ref="L72" si="289">F72*J72</f>
        <v>5.3644136363636363</v>
      </c>
      <c r="M72" s="527">
        <f t="shared" ref="M72" si="290">E72-10*LOG(J72)</f>
        <v>11.86085057022342</v>
      </c>
      <c r="N72" s="527">
        <f t="shared" ref="N72" si="291">H72-10*LOG(O72*10^6)</f>
        <v>10.53910013008057</v>
      </c>
      <c r="O72" s="527">
        <f t="shared" ref="O72" si="292">F72*K72</f>
        <v>7.2727272727272725</v>
      </c>
      <c r="P72" s="527">
        <f>O72*D72</f>
        <v>5.4545454545454541</v>
      </c>
      <c r="Q72" s="527">
        <f>O72*(1-D72)</f>
        <v>1.8181818181818181</v>
      </c>
      <c r="R72" s="537">
        <f t="shared" ref="R72" si="293">(P72-L72)/P72</f>
        <v>1.65241666666666E-2</v>
      </c>
      <c r="S72" s="546"/>
      <c r="T72" s="546"/>
      <c r="U72" s="546"/>
      <c r="V72" s="546"/>
      <c r="W72" s="546"/>
      <c r="X72" s="546"/>
      <c r="Y72" s="546"/>
      <c r="Z72" s="546"/>
      <c r="AA72" s="546"/>
      <c r="AB72" s="546"/>
      <c r="AC72" s="546"/>
      <c r="AD72" s="546"/>
      <c r="AE72" s="546"/>
      <c r="AF72" s="546"/>
      <c r="AG72" s="546"/>
      <c r="AH72" s="546"/>
      <c r="AI72" s="546"/>
      <c r="AJ72" s="546"/>
      <c r="AK72" s="546"/>
      <c r="AL72" s="546"/>
      <c r="AM72" s="546"/>
      <c r="AN72" s="546"/>
      <c r="AO72" s="546"/>
      <c r="AP72" s="546"/>
      <c r="AQ72" s="546"/>
      <c r="AR72" s="546"/>
      <c r="AS72" s="546"/>
      <c r="AT72" s="546"/>
      <c r="AU72" s="546"/>
      <c r="AV72" s="546"/>
      <c r="AW72" s="546"/>
      <c r="AX72" s="546"/>
      <c r="AY72" s="546"/>
      <c r="AZ72" s="546"/>
    </row>
    <row r="73" spans="1:52">
      <c r="A73" s="546"/>
      <c r="B73" s="521"/>
      <c r="C73" s="278"/>
      <c r="D73" s="278"/>
      <c r="E73" s="278"/>
      <c r="F73" s="279"/>
      <c r="G73" s="279"/>
      <c r="H73" s="351"/>
      <c r="I73" s="279"/>
      <c r="J73" s="280"/>
      <c r="K73" s="278"/>
      <c r="L73" s="281"/>
      <c r="M73" s="278"/>
      <c r="N73" s="282"/>
      <c r="O73" s="279"/>
      <c r="P73" s="282"/>
      <c r="Q73" s="282"/>
      <c r="R73" s="283"/>
      <c r="S73" s="546"/>
      <c r="T73" s="546"/>
      <c r="U73" s="546"/>
      <c r="V73" s="546"/>
      <c r="W73" s="546"/>
      <c r="X73" s="546"/>
      <c r="Y73" s="546"/>
      <c r="Z73" s="546"/>
      <c r="AA73" s="546"/>
      <c r="AB73" s="546"/>
      <c r="AC73" s="546"/>
      <c r="AD73" s="546"/>
      <c r="AE73" s="546"/>
      <c r="AF73" s="546"/>
      <c r="AG73" s="546"/>
      <c r="AH73" s="546"/>
      <c r="AI73" s="546"/>
      <c r="AJ73" s="546"/>
      <c r="AK73" s="546"/>
      <c r="AL73" s="546"/>
      <c r="AM73" s="546"/>
      <c r="AN73" s="546"/>
      <c r="AO73" s="546"/>
      <c r="AP73" s="546"/>
      <c r="AQ73" s="546"/>
      <c r="AR73" s="546"/>
      <c r="AS73" s="546"/>
      <c r="AT73" s="546"/>
      <c r="AU73" s="546"/>
      <c r="AV73" s="546"/>
      <c r="AW73" s="546"/>
      <c r="AX73" s="546"/>
      <c r="AY73" s="546"/>
      <c r="AZ73" s="546"/>
    </row>
    <row r="74" spans="1:52">
      <c r="A74" s="546"/>
      <c r="B74" s="546"/>
      <c r="C74" s="553"/>
      <c r="D74" s="554"/>
      <c r="E74" s="553"/>
      <c r="F74" s="547"/>
      <c r="G74" s="547"/>
      <c r="H74" s="547"/>
      <c r="I74" s="547"/>
      <c r="J74" s="555"/>
      <c r="K74" s="553"/>
      <c r="L74" s="556"/>
      <c r="M74" s="553"/>
      <c r="N74" s="557"/>
      <c r="O74" s="547"/>
      <c r="P74" s="547"/>
      <c r="Q74" s="547"/>
      <c r="R74" s="547"/>
      <c r="S74" s="546"/>
      <c r="T74" s="546"/>
      <c r="U74" s="546"/>
      <c r="V74" s="546"/>
      <c r="W74" s="546"/>
      <c r="X74" s="546"/>
      <c r="Y74" s="546"/>
      <c r="Z74" s="546"/>
      <c r="AA74" s="546"/>
      <c r="AB74" s="546"/>
      <c r="AC74" s="546"/>
      <c r="AD74" s="546"/>
      <c r="AE74" s="546"/>
      <c r="AF74" s="546"/>
      <c r="AG74" s="546"/>
      <c r="AH74" s="546"/>
      <c r="AI74" s="546"/>
      <c r="AJ74" s="546"/>
      <c r="AK74" s="546"/>
      <c r="AL74" s="546"/>
      <c r="AM74" s="546"/>
      <c r="AN74" s="546"/>
      <c r="AO74" s="546"/>
      <c r="AP74" s="546"/>
      <c r="AQ74" s="546"/>
      <c r="AR74" s="546"/>
      <c r="AS74" s="546"/>
      <c r="AT74" s="546"/>
      <c r="AU74" s="546"/>
      <c r="AV74" s="546"/>
      <c r="AW74" s="546"/>
      <c r="AX74" s="546"/>
      <c r="AY74" s="546"/>
      <c r="AZ74" s="546"/>
    </row>
    <row r="75" spans="1:52">
      <c r="A75" s="546"/>
      <c r="B75" s="546"/>
      <c r="C75" s="553" t="s">
        <v>3</v>
      </c>
      <c r="D75" s="558"/>
      <c r="E75" s="553" t="s">
        <v>3</v>
      </c>
      <c r="F75" s="547" t="s">
        <v>3</v>
      </c>
      <c r="G75" s="547"/>
      <c r="H75" s="547"/>
      <c r="I75" s="547" t="s">
        <v>3</v>
      </c>
      <c r="J75" s="547"/>
      <c r="K75" s="553"/>
      <c r="L75" s="556" t="s">
        <v>3</v>
      </c>
      <c r="M75" s="553"/>
      <c r="N75" s="547" t="s">
        <v>3</v>
      </c>
      <c r="O75" s="547"/>
      <c r="P75" s="547"/>
      <c r="Q75" s="547"/>
      <c r="R75" s="547"/>
      <c r="S75" s="546"/>
      <c r="T75" s="546"/>
      <c r="U75" s="546"/>
      <c r="V75" s="546"/>
      <c r="W75" s="546"/>
      <c r="X75" s="546"/>
      <c r="Y75" s="546"/>
      <c r="Z75" s="546"/>
      <c r="AA75" s="546"/>
      <c r="AB75" s="546"/>
      <c r="AC75" s="546"/>
      <c r="AD75" s="546"/>
      <c r="AE75" s="546"/>
      <c r="AF75" s="546"/>
      <c r="AG75" s="546"/>
      <c r="AH75" s="546"/>
      <c r="AI75" s="546"/>
      <c r="AJ75" s="546"/>
      <c r="AK75" s="546"/>
      <c r="AL75" s="546"/>
      <c r="AM75" s="546"/>
      <c r="AN75" s="546"/>
      <c r="AO75" s="546"/>
      <c r="AP75" s="546"/>
      <c r="AQ75" s="546"/>
      <c r="AR75" s="546"/>
      <c r="AS75" s="546"/>
      <c r="AT75" s="546"/>
      <c r="AU75" s="546"/>
      <c r="AV75" s="546"/>
      <c r="AW75" s="546"/>
      <c r="AX75" s="546"/>
      <c r="AY75" s="546"/>
      <c r="AZ75" s="546"/>
    </row>
    <row r="76" spans="1:52">
      <c r="A76" s="546"/>
      <c r="B76" s="550" t="s">
        <v>3</v>
      </c>
      <c r="C76" s="550" t="s">
        <v>3</v>
      </c>
      <c r="D76" s="550" t="s">
        <v>3</v>
      </c>
      <c r="E76" s="550" t="s">
        <v>3</v>
      </c>
      <c r="F76" s="546"/>
      <c r="G76" s="550" t="s">
        <v>3</v>
      </c>
      <c r="H76" s="550" t="s">
        <v>3</v>
      </c>
      <c r="I76" s="550" t="s">
        <v>3</v>
      </c>
      <c r="J76" s="546"/>
      <c r="K76" s="546"/>
      <c r="L76" s="550" t="s">
        <v>3</v>
      </c>
      <c r="M76" s="546"/>
      <c r="N76" s="546"/>
      <c r="O76" s="546"/>
      <c r="P76" s="546"/>
      <c r="Q76" s="546"/>
      <c r="R76" s="546"/>
      <c r="S76" s="546"/>
      <c r="T76" s="546"/>
      <c r="U76" s="546"/>
      <c r="V76" s="546"/>
      <c r="W76" s="546"/>
      <c r="X76" s="546"/>
      <c r="Y76" s="546"/>
      <c r="Z76" s="546"/>
      <c r="AA76" s="546"/>
      <c r="AB76" s="546"/>
      <c r="AC76" s="546"/>
      <c r="AD76" s="546"/>
      <c r="AE76" s="546"/>
      <c r="AF76" s="546"/>
      <c r="AG76" s="546"/>
      <c r="AH76" s="546"/>
      <c r="AI76" s="546"/>
      <c r="AJ76" s="546"/>
      <c r="AK76" s="546"/>
      <c r="AL76" s="546"/>
      <c r="AM76" s="546"/>
      <c r="AN76" s="546"/>
      <c r="AO76" s="546"/>
      <c r="AP76" s="546"/>
      <c r="AQ76" s="546"/>
      <c r="AR76" s="546"/>
      <c r="AS76" s="546"/>
      <c r="AT76" s="546"/>
      <c r="AU76" s="546"/>
      <c r="AV76" s="546"/>
      <c r="AW76" s="546"/>
      <c r="AX76" s="546"/>
      <c r="AY76" s="546"/>
      <c r="AZ76" s="546"/>
    </row>
    <row r="77" spans="1:52">
      <c r="A77" s="546"/>
      <c r="B77" s="546"/>
      <c r="C77" s="546"/>
      <c r="D77" s="546"/>
      <c r="E77" s="550" t="s">
        <v>3</v>
      </c>
      <c r="F77" s="546"/>
      <c r="G77" s="546"/>
      <c r="H77" s="546"/>
      <c r="I77" s="546"/>
      <c r="J77" s="546"/>
      <c r="K77" s="546"/>
      <c r="L77" s="550" t="s">
        <v>3</v>
      </c>
      <c r="M77" s="546"/>
      <c r="N77" s="546"/>
      <c r="O77" s="546"/>
      <c r="P77" s="546"/>
      <c r="Q77" s="550" t="s">
        <v>3</v>
      </c>
      <c r="R77" s="546"/>
      <c r="S77" s="546"/>
      <c r="T77" s="546"/>
      <c r="U77" s="546"/>
      <c r="V77" s="546"/>
      <c r="W77" s="546"/>
      <c r="X77" s="546"/>
      <c r="Y77" s="546"/>
      <c r="Z77" s="546"/>
      <c r="AA77" s="546"/>
      <c r="AB77" s="546"/>
      <c r="AC77" s="546"/>
      <c r="AD77" s="546"/>
      <c r="AE77" s="546"/>
      <c r="AF77" s="546"/>
      <c r="AG77" s="546"/>
      <c r="AH77" s="546"/>
      <c r="AI77" s="546"/>
      <c r="AJ77" s="546"/>
      <c r="AK77" s="546"/>
      <c r="AL77" s="546"/>
      <c r="AM77" s="546"/>
      <c r="AN77" s="546"/>
      <c r="AO77" s="546"/>
      <c r="AP77" s="546"/>
      <c r="AQ77" s="546"/>
      <c r="AR77" s="546"/>
      <c r="AS77" s="546"/>
      <c r="AT77" s="546"/>
      <c r="AU77" s="546"/>
      <c r="AV77" s="546"/>
      <c r="AW77" s="546"/>
      <c r="AX77" s="546"/>
      <c r="AY77" s="546"/>
      <c r="AZ77" s="546"/>
    </row>
    <row r="78" spans="1:52">
      <c r="A78" s="546"/>
      <c r="B78" s="546"/>
      <c r="C78" s="550" t="s">
        <v>3</v>
      </c>
      <c r="D78" s="550" t="s">
        <v>3</v>
      </c>
      <c r="E78" s="550" t="s">
        <v>3</v>
      </c>
      <c r="F78" s="550" t="s">
        <v>3</v>
      </c>
      <c r="G78" s="546"/>
      <c r="H78" s="546"/>
      <c r="I78" s="546"/>
      <c r="J78" s="550" t="s">
        <v>3</v>
      </c>
      <c r="K78" s="546"/>
      <c r="L78" s="546"/>
      <c r="M78" s="550" t="s">
        <v>3</v>
      </c>
      <c r="N78" s="546"/>
      <c r="O78" s="546"/>
      <c r="P78" s="546"/>
      <c r="Q78" s="546"/>
      <c r="R78" s="546"/>
      <c r="S78" s="546"/>
      <c r="T78" s="546"/>
      <c r="U78" s="546"/>
      <c r="V78" s="546"/>
      <c r="W78" s="546"/>
      <c r="X78" s="546"/>
      <c r="Y78" s="546"/>
      <c r="Z78" s="546"/>
      <c r="AA78" s="546"/>
      <c r="AB78" s="546"/>
      <c r="AC78" s="546"/>
      <c r="AD78" s="546"/>
      <c r="AE78" s="546"/>
      <c r="AF78" s="546"/>
      <c r="AG78" s="546"/>
      <c r="AH78" s="546"/>
      <c r="AI78" s="546"/>
      <c r="AJ78" s="546"/>
      <c r="AK78" s="546"/>
      <c r="AL78" s="546"/>
      <c r="AM78" s="546"/>
      <c r="AN78" s="546"/>
      <c r="AO78" s="546"/>
      <c r="AP78" s="546"/>
      <c r="AQ78" s="546"/>
      <c r="AR78" s="546"/>
      <c r="AS78" s="546"/>
      <c r="AT78" s="546"/>
      <c r="AU78" s="546"/>
      <c r="AV78" s="546"/>
      <c r="AW78" s="546"/>
      <c r="AX78" s="546"/>
      <c r="AY78" s="546"/>
      <c r="AZ78" s="546"/>
    </row>
    <row r="79" spans="1:52">
      <c r="A79" s="546"/>
      <c r="B79" s="546"/>
      <c r="C79" s="550" t="s">
        <v>3</v>
      </c>
      <c r="D79" s="550" t="s">
        <v>3</v>
      </c>
      <c r="E79" s="550" t="s">
        <v>3</v>
      </c>
      <c r="F79" s="546"/>
      <c r="G79" s="546"/>
      <c r="H79" s="550" t="s">
        <v>3</v>
      </c>
      <c r="I79" s="546"/>
      <c r="J79" s="546"/>
      <c r="K79" s="546"/>
      <c r="L79" s="546"/>
      <c r="M79" s="546"/>
      <c r="N79" s="546"/>
      <c r="O79" s="546"/>
      <c r="P79" s="546"/>
      <c r="Q79" s="546"/>
      <c r="R79" s="546"/>
      <c r="S79" s="546"/>
      <c r="T79" s="546"/>
      <c r="U79" s="546"/>
      <c r="V79" s="546"/>
      <c r="W79" s="546"/>
      <c r="X79" s="546"/>
      <c r="Y79" s="546"/>
      <c r="Z79" s="546"/>
      <c r="AA79" s="546"/>
      <c r="AB79" s="546"/>
      <c r="AC79" s="546"/>
      <c r="AD79" s="546"/>
      <c r="AE79" s="546"/>
      <c r="AF79" s="546"/>
      <c r="AG79" s="546"/>
      <c r="AH79" s="546"/>
      <c r="AI79" s="546"/>
      <c r="AJ79" s="546"/>
      <c r="AK79" s="546"/>
      <c r="AL79" s="546"/>
      <c r="AM79" s="546"/>
      <c r="AN79" s="546"/>
      <c r="AO79" s="546"/>
      <c r="AP79" s="546"/>
      <c r="AQ79" s="546"/>
      <c r="AR79" s="546"/>
      <c r="AS79" s="546"/>
      <c r="AT79" s="546"/>
      <c r="AU79" s="546"/>
      <c r="AV79" s="546"/>
      <c r="AW79" s="546"/>
      <c r="AX79" s="546"/>
      <c r="AY79" s="546"/>
      <c r="AZ79" s="546"/>
    </row>
    <row r="80" spans="1:52">
      <c r="A80" s="546"/>
      <c r="B80" s="550" t="s">
        <v>3</v>
      </c>
      <c r="C80" s="546"/>
      <c r="D80" s="550" t="s">
        <v>3</v>
      </c>
      <c r="E80" s="546"/>
      <c r="F80" s="550" t="s">
        <v>3</v>
      </c>
      <c r="G80" s="550" t="s">
        <v>3</v>
      </c>
      <c r="H80" s="546"/>
      <c r="I80" s="546"/>
      <c r="J80" s="546"/>
      <c r="K80" s="546"/>
      <c r="L80" s="546"/>
      <c r="M80" s="546"/>
      <c r="N80" s="550" t="s">
        <v>3</v>
      </c>
      <c r="O80" s="546"/>
      <c r="P80" s="546"/>
      <c r="Q80" s="550" t="s">
        <v>3</v>
      </c>
      <c r="R80" s="546"/>
      <c r="S80" s="546"/>
      <c r="T80" s="546"/>
      <c r="U80" s="546"/>
      <c r="V80" s="546"/>
      <c r="W80" s="546"/>
      <c r="X80" s="546"/>
      <c r="Y80" s="546"/>
      <c r="Z80" s="546"/>
      <c r="AA80" s="546"/>
      <c r="AB80" s="546"/>
      <c r="AC80" s="546"/>
      <c r="AD80" s="546"/>
      <c r="AE80" s="546"/>
      <c r="AF80" s="546"/>
      <c r="AG80" s="546"/>
      <c r="AH80" s="546"/>
      <c r="AI80" s="546"/>
      <c r="AJ80" s="546"/>
      <c r="AK80" s="546"/>
      <c r="AL80" s="546"/>
      <c r="AM80" s="546"/>
      <c r="AN80" s="546"/>
      <c r="AO80" s="546"/>
      <c r="AP80" s="546"/>
      <c r="AQ80" s="546"/>
      <c r="AR80" s="546"/>
      <c r="AS80" s="546"/>
      <c r="AT80" s="546"/>
      <c r="AU80" s="546"/>
      <c r="AV80" s="546"/>
      <c r="AW80" s="546"/>
      <c r="AX80" s="546"/>
      <c r="AY80" s="546"/>
      <c r="AZ80" s="546"/>
    </row>
    <row r="81" spans="1:52">
      <c r="A81" s="546"/>
      <c r="B81" s="546"/>
      <c r="C81" s="546"/>
      <c r="D81" s="546"/>
      <c r="E81" s="550" t="s">
        <v>3</v>
      </c>
      <c r="F81" s="546"/>
      <c r="G81" s="546"/>
      <c r="H81" s="550" t="s">
        <v>3</v>
      </c>
      <c r="I81" s="546"/>
      <c r="J81" s="550" t="s">
        <v>3</v>
      </c>
      <c r="K81" s="550" t="s">
        <v>3</v>
      </c>
      <c r="L81" s="550" t="s">
        <v>3</v>
      </c>
      <c r="M81" s="546"/>
      <c r="N81" s="546"/>
      <c r="O81" s="546"/>
      <c r="P81" s="546"/>
      <c r="Q81" s="546"/>
      <c r="R81" s="546"/>
      <c r="S81" s="546"/>
      <c r="T81" s="546"/>
      <c r="U81" s="546"/>
      <c r="V81" s="546"/>
      <c r="W81" s="546"/>
      <c r="X81" s="546"/>
      <c r="Y81" s="546"/>
      <c r="Z81" s="546"/>
      <c r="AA81" s="546"/>
      <c r="AB81" s="546"/>
      <c r="AC81" s="546"/>
      <c r="AD81" s="546"/>
      <c r="AE81" s="546"/>
      <c r="AF81" s="546"/>
      <c r="AG81" s="546"/>
      <c r="AH81" s="546"/>
      <c r="AI81" s="546"/>
      <c r="AJ81" s="546"/>
      <c r="AK81" s="546"/>
      <c r="AL81" s="546"/>
      <c r="AM81" s="546"/>
      <c r="AN81" s="546"/>
      <c r="AO81" s="546"/>
      <c r="AP81" s="546"/>
      <c r="AQ81" s="546"/>
      <c r="AR81" s="546"/>
      <c r="AS81" s="546"/>
      <c r="AT81" s="546"/>
      <c r="AU81" s="546"/>
      <c r="AV81" s="546"/>
      <c r="AW81" s="546"/>
      <c r="AX81" s="546"/>
      <c r="AY81" s="546"/>
      <c r="AZ81" s="546"/>
    </row>
    <row r="82" spans="1:52">
      <c r="A82" s="546"/>
      <c r="B82" s="546"/>
      <c r="C82" s="546"/>
      <c r="D82" s="550" t="s">
        <v>3</v>
      </c>
      <c r="E82" s="546"/>
      <c r="F82" s="546"/>
      <c r="G82" s="550" t="s">
        <v>3</v>
      </c>
      <c r="H82" s="546"/>
      <c r="I82" s="546"/>
      <c r="J82" s="550" t="s">
        <v>3</v>
      </c>
      <c r="K82" s="546"/>
      <c r="L82" s="546" t="s">
        <v>3</v>
      </c>
      <c r="M82" s="550" t="s">
        <v>3</v>
      </c>
      <c r="N82" s="546"/>
      <c r="O82" s="546"/>
      <c r="P82" s="546"/>
      <c r="Q82" s="546"/>
      <c r="R82" s="546"/>
      <c r="S82" s="546"/>
      <c r="T82" s="546"/>
      <c r="U82" s="546"/>
      <c r="V82" s="546"/>
      <c r="W82" s="546"/>
      <c r="X82" s="546"/>
      <c r="Y82" s="546"/>
      <c r="Z82" s="546"/>
      <c r="AA82" s="546"/>
      <c r="AB82" s="546"/>
      <c r="AC82" s="546"/>
      <c r="AD82" s="546"/>
      <c r="AE82" s="546"/>
      <c r="AF82" s="546"/>
      <c r="AG82" s="546"/>
      <c r="AH82" s="546"/>
      <c r="AI82" s="546"/>
      <c r="AJ82" s="546"/>
      <c r="AK82" s="546"/>
      <c r="AL82" s="546"/>
      <c r="AM82" s="546"/>
      <c r="AN82" s="546"/>
      <c r="AO82" s="546"/>
      <c r="AP82" s="546"/>
      <c r="AQ82" s="546"/>
      <c r="AR82" s="546"/>
      <c r="AS82" s="546"/>
      <c r="AT82" s="546"/>
      <c r="AU82" s="546"/>
      <c r="AV82" s="546"/>
      <c r="AW82" s="546"/>
      <c r="AX82" s="546"/>
      <c r="AY82" s="546"/>
      <c r="AZ82" s="546"/>
    </row>
    <row r="83" spans="1:52">
      <c r="A83" s="546"/>
      <c r="B83" s="546"/>
      <c r="C83" s="546"/>
      <c r="D83" s="550" t="s">
        <v>3</v>
      </c>
      <c r="E83" s="546"/>
      <c r="F83" s="546"/>
      <c r="G83" s="546"/>
      <c r="H83" s="550" t="s">
        <v>3</v>
      </c>
      <c r="I83" s="546"/>
      <c r="J83" s="546"/>
      <c r="K83" s="546"/>
      <c r="L83" s="546"/>
      <c r="M83" s="546"/>
      <c r="N83" s="546"/>
      <c r="O83" s="546"/>
      <c r="P83" s="546"/>
      <c r="Q83" s="546"/>
      <c r="R83" s="546"/>
      <c r="S83" s="546"/>
      <c r="T83" s="546"/>
      <c r="U83" s="546"/>
      <c r="V83" s="546"/>
      <c r="W83" s="546"/>
      <c r="X83" s="546"/>
      <c r="Y83" s="546"/>
      <c r="Z83" s="546"/>
      <c r="AA83" s="546"/>
      <c r="AB83" s="546"/>
      <c r="AC83" s="546"/>
      <c r="AD83" s="546"/>
      <c r="AE83" s="546"/>
      <c r="AF83" s="546"/>
      <c r="AG83" s="546"/>
      <c r="AH83" s="546"/>
      <c r="AI83" s="546"/>
      <c r="AJ83" s="546"/>
      <c r="AK83" s="546"/>
      <c r="AL83" s="546"/>
      <c r="AM83" s="546"/>
      <c r="AN83" s="546"/>
      <c r="AO83" s="546"/>
      <c r="AP83" s="546"/>
      <c r="AQ83" s="546"/>
      <c r="AR83" s="546"/>
      <c r="AS83" s="546"/>
      <c r="AT83" s="546"/>
      <c r="AU83" s="546"/>
      <c r="AV83" s="546"/>
      <c r="AW83" s="546"/>
      <c r="AX83" s="546"/>
      <c r="AY83" s="546"/>
      <c r="AZ83" s="546"/>
    </row>
    <row r="84" spans="1:52">
      <c r="A84" s="546"/>
      <c r="B84" s="546"/>
      <c r="C84" s="546"/>
      <c r="D84" s="550" t="s">
        <v>3</v>
      </c>
      <c r="E84" s="546"/>
      <c r="F84" s="546"/>
      <c r="G84" s="546"/>
      <c r="H84" s="546"/>
      <c r="I84" s="546"/>
      <c r="J84" s="546"/>
      <c r="K84" s="546"/>
      <c r="L84" s="546"/>
      <c r="M84" s="550" t="s">
        <v>3</v>
      </c>
      <c r="N84" s="546"/>
      <c r="O84" s="546"/>
      <c r="P84" s="546"/>
      <c r="Q84" s="546"/>
      <c r="R84" s="546"/>
      <c r="S84" s="546"/>
      <c r="T84" s="546"/>
      <c r="U84" s="546"/>
      <c r="V84" s="546"/>
      <c r="W84" s="546"/>
      <c r="X84" s="546"/>
      <c r="Y84" s="546"/>
      <c r="Z84" s="546"/>
      <c r="AA84" s="546"/>
      <c r="AB84" s="546"/>
      <c r="AC84" s="546"/>
      <c r="AD84" s="546"/>
      <c r="AE84" s="546"/>
      <c r="AF84" s="546"/>
      <c r="AG84" s="546"/>
      <c r="AH84" s="546"/>
      <c r="AI84" s="546"/>
      <c r="AJ84" s="546"/>
      <c r="AK84" s="546"/>
      <c r="AL84" s="546"/>
      <c r="AM84" s="546"/>
      <c r="AN84" s="546"/>
      <c r="AO84" s="546"/>
      <c r="AP84" s="546"/>
      <c r="AQ84" s="546"/>
      <c r="AR84" s="546"/>
      <c r="AS84" s="546"/>
      <c r="AT84" s="546"/>
      <c r="AU84" s="546"/>
      <c r="AV84" s="546"/>
      <c r="AW84" s="546"/>
      <c r="AX84" s="546"/>
      <c r="AY84" s="546"/>
      <c r="AZ84" s="546"/>
    </row>
    <row r="85" spans="1:52">
      <c r="A85" s="546"/>
      <c r="B85" s="546"/>
      <c r="C85" s="546"/>
      <c r="D85" s="546"/>
      <c r="E85" s="546"/>
      <c r="F85" s="546"/>
      <c r="G85" s="546"/>
      <c r="H85" s="546"/>
      <c r="I85" s="546"/>
      <c r="J85" s="546"/>
      <c r="K85" s="546"/>
      <c r="L85" s="550" t="s">
        <v>3</v>
      </c>
      <c r="M85" s="546"/>
      <c r="N85" s="546"/>
      <c r="O85" s="546"/>
      <c r="P85" s="546"/>
      <c r="Q85" s="546"/>
      <c r="R85" s="546"/>
      <c r="S85" s="546"/>
      <c r="T85" s="546"/>
      <c r="U85" s="546"/>
      <c r="V85" s="546"/>
      <c r="W85" s="546"/>
      <c r="X85" s="546"/>
      <c r="Y85" s="546"/>
      <c r="Z85" s="546"/>
      <c r="AA85" s="546"/>
      <c r="AB85" s="546"/>
      <c r="AC85" s="546"/>
      <c r="AD85" s="546"/>
      <c r="AE85" s="546"/>
      <c r="AF85" s="546"/>
      <c r="AG85" s="546"/>
      <c r="AH85" s="546"/>
      <c r="AI85" s="546"/>
      <c r="AJ85" s="546"/>
      <c r="AK85" s="546"/>
      <c r="AL85" s="546"/>
      <c r="AM85" s="546"/>
      <c r="AN85" s="546"/>
      <c r="AO85" s="546"/>
      <c r="AP85" s="546"/>
      <c r="AQ85" s="546"/>
      <c r="AR85" s="546"/>
      <c r="AS85" s="546"/>
      <c r="AT85" s="546"/>
      <c r="AU85" s="546"/>
      <c r="AV85" s="546"/>
      <c r="AW85" s="546"/>
      <c r="AX85" s="546"/>
      <c r="AY85" s="546"/>
      <c r="AZ85" s="546"/>
    </row>
    <row r="86" spans="1:52">
      <c r="A86" s="546"/>
      <c r="B86" s="546"/>
      <c r="C86" s="550" t="s">
        <v>3</v>
      </c>
      <c r="D86" s="546"/>
      <c r="E86" s="546"/>
      <c r="F86" s="546"/>
      <c r="G86" s="546"/>
      <c r="H86" s="546"/>
      <c r="I86" s="546"/>
      <c r="J86" s="546"/>
      <c r="K86" s="546"/>
      <c r="L86" s="546"/>
      <c r="M86" s="546"/>
      <c r="N86" s="546"/>
      <c r="O86" s="546"/>
      <c r="P86" s="546"/>
      <c r="Q86" s="546"/>
      <c r="R86" s="546"/>
      <c r="S86" s="546"/>
      <c r="T86" s="546"/>
      <c r="U86" s="546"/>
      <c r="V86" s="546"/>
      <c r="W86" s="546"/>
      <c r="X86" s="546"/>
      <c r="Y86" s="546"/>
      <c r="Z86" s="546"/>
      <c r="AA86" s="546"/>
      <c r="AB86" s="546"/>
      <c r="AC86" s="546"/>
      <c r="AD86" s="546"/>
      <c r="AE86" s="546"/>
      <c r="AF86" s="546"/>
      <c r="AG86" s="546"/>
      <c r="AH86" s="546"/>
      <c r="AI86" s="546"/>
      <c r="AJ86" s="546"/>
      <c r="AK86" s="546"/>
      <c r="AL86" s="546"/>
      <c r="AM86" s="546"/>
      <c r="AN86" s="546"/>
      <c r="AO86" s="546"/>
      <c r="AP86" s="546"/>
      <c r="AQ86" s="546"/>
      <c r="AR86" s="546"/>
      <c r="AS86" s="546"/>
      <c r="AT86" s="546"/>
      <c r="AU86" s="546"/>
      <c r="AV86" s="546"/>
      <c r="AW86" s="546"/>
      <c r="AX86" s="546"/>
      <c r="AY86" s="546"/>
      <c r="AZ86" s="546"/>
    </row>
    <row r="87" spans="1:52">
      <c r="A87" s="546"/>
      <c r="B87" s="546"/>
      <c r="C87" s="546"/>
      <c r="D87" s="546"/>
      <c r="E87" s="546"/>
      <c r="F87" s="546"/>
      <c r="G87" s="546"/>
      <c r="H87" s="546"/>
      <c r="I87" s="546"/>
      <c r="J87" s="546"/>
      <c r="K87" s="546"/>
      <c r="L87" s="546"/>
      <c r="M87" s="546"/>
      <c r="N87" s="546"/>
      <c r="O87" s="546"/>
      <c r="P87" s="546"/>
      <c r="Q87" s="546"/>
      <c r="R87" s="546"/>
      <c r="S87" s="546"/>
      <c r="T87" s="546"/>
      <c r="U87" s="546"/>
      <c r="V87" s="546"/>
      <c r="W87" s="546"/>
      <c r="X87" s="546"/>
      <c r="Y87" s="546"/>
      <c r="Z87" s="546"/>
      <c r="AA87" s="546"/>
      <c r="AB87" s="546"/>
      <c r="AC87" s="546"/>
      <c r="AD87" s="546"/>
      <c r="AE87" s="546"/>
      <c r="AF87" s="546"/>
      <c r="AG87" s="546"/>
      <c r="AH87" s="546"/>
      <c r="AI87" s="546"/>
      <c r="AJ87" s="546"/>
      <c r="AK87" s="546"/>
      <c r="AL87" s="546"/>
      <c r="AM87" s="546"/>
      <c r="AN87" s="546"/>
      <c r="AO87" s="546"/>
      <c r="AP87" s="546"/>
      <c r="AQ87" s="546"/>
      <c r="AR87" s="546"/>
      <c r="AS87" s="546"/>
      <c r="AT87" s="546"/>
      <c r="AU87" s="546"/>
      <c r="AV87" s="546"/>
      <c r="AW87" s="546"/>
      <c r="AX87" s="546"/>
      <c r="AY87" s="546"/>
      <c r="AZ87" s="546"/>
    </row>
    <row r="88" spans="1:52">
      <c r="A88" s="546"/>
      <c r="B88" s="546"/>
      <c r="C88" s="546"/>
      <c r="D88" s="546"/>
      <c r="E88" s="546"/>
      <c r="F88" s="546"/>
      <c r="G88" s="546"/>
      <c r="H88" s="546"/>
      <c r="I88" s="546"/>
      <c r="J88" s="546"/>
      <c r="K88" s="546"/>
      <c r="L88" s="546"/>
      <c r="M88" s="546"/>
      <c r="N88" s="546"/>
      <c r="O88" s="546"/>
      <c r="P88" s="546"/>
      <c r="Q88" s="546"/>
      <c r="R88" s="546"/>
      <c r="S88" s="546"/>
      <c r="T88" s="546"/>
      <c r="U88" s="546"/>
      <c r="V88" s="546"/>
      <c r="W88" s="546"/>
      <c r="X88" s="546"/>
      <c r="Y88" s="546"/>
      <c r="Z88" s="546"/>
      <c r="AA88" s="546"/>
      <c r="AB88" s="546"/>
      <c r="AC88" s="546"/>
      <c r="AD88" s="546"/>
      <c r="AE88" s="546"/>
      <c r="AF88" s="546"/>
      <c r="AG88" s="546"/>
      <c r="AH88" s="546"/>
      <c r="AI88" s="546"/>
      <c r="AJ88" s="546"/>
      <c r="AK88" s="546"/>
      <c r="AL88" s="546"/>
      <c r="AM88" s="546"/>
      <c r="AN88" s="546"/>
      <c r="AO88" s="546"/>
      <c r="AP88" s="546"/>
      <c r="AQ88" s="546"/>
      <c r="AR88" s="546"/>
      <c r="AS88" s="546"/>
      <c r="AT88" s="546"/>
      <c r="AU88" s="546"/>
      <c r="AV88" s="546"/>
      <c r="AW88" s="546"/>
      <c r="AX88" s="546"/>
      <c r="AY88" s="546"/>
      <c r="AZ88" s="546"/>
    </row>
    <row r="89" spans="1:52">
      <c r="A89" s="546"/>
      <c r="B89" s="546"/>
      <c r="C89" s="546"/>
      <c r="D89" s="546"/>
      <c r="E89" s="546"/>
      <c r="F89" s="546"/>
      <c r="G89" s="546"/>
      <c r="H89" s="546"/>
      <c r="I89" s="546"/>
      <c r="J89" s="546"/>
      <c r="K89" s="546"/>
      <c r="L89" s="546"/>
      <c r="M89" s="546"/>
      <c r="N89" s="546"/>
      <c r="O89" s="546"/>
      <c r="P89" s="546"/>
      <c r="Q89" s="546"/>
      <c r="R89" s="546"/>
      <c r="S89" s="546"/>
      <c r="T89" s="546"/>
      <c r="U89" s="546"/>
      <c r="V89" s="546"/>
      <c r="W89" s="546"/>
      <c r="X89" s="546"/>
      <c r="Y89" s="546"/>
      <c r="Z89" s="546"/>
      <c r="AA89" s="546"/>
      <c r="AB89" s="546"/>
      <c r="AC89" s="546"/>
      <c r="AD89" s="546"/>
      <c r="AE89" s="546"/>
      <c r="AF89" s="546"/>
      <c r="AG89" s="546"/>
      <c r="AH89" s="546"/>
      <c r="AI89" s="546"/>
      <c r="AJ89" s="546"/>
      <c r="AK89" s="546"/>
      <c r="AL89" s="546"/>
      <c r="AM89" s="546"/>
      <c r="AN89" s="546"/>
      <c r="AO89" s="546"/>
      <c r="AP89" s="546"/>
      <c r="AQ89" s="546"/>
      <c r="AR89" s="546"/>
      <c r="AS89" s="546"/>
      <c r="AT89" s="546"/>
      <c r="AU89" s="546"/>
      <c r="AV89" s="546"/>
      <c r="AW89" s="546"/>
      <c r="AX89" s="546"/>
      <c r="AY89" s="546"/>
      <c r="AZ89" s="546"/>
    </row>
    <row r="90" spans="1:52">
      <c r="A90" s="546"/>
      <c r="B90" s="546"/>
      <c r="C90" s="546"/>
      <c r="D90" s="546"/>
      <c r="E90" s="546"/>
      <c r="F90" s="546"/>
      <c r="G90" s="546"/>
      <c r="H90" s="546"/>
      <c r="I90" s="546"/>
      <c r="J90" s="546"/>
      <c r="K90" s="546"/>
      <c r="L90" s="546"/>
      <c r="M90" s="546"/>
      <c r="N90" s="546"/>
      <c r="O90" s="546"/>
      <c r="P90" s="546"/>
      <c r="Q90" s="546"/>
      <c r="R90" s="546"/>
      <c r="S90" s="546"/>
      <c r="T90" s="546"/>
      <c r="U90" s="546"/>
      <c r="V90" s="546"/>
      <c r="W90" s="546"/>
      <c r="X90" s="546"/>
      <c r="Y90" s="546"/>
      <c r="Z90" s="546"/>
      <c r="AA90" s="546"/>
      <c r="AB90" s="546"/>
      <c r="AC90" s="546"/>
      <c r="AD90" s="546"/>
      <c r="AE90" s="546"/>
      <c r="AF90" s="546"/>
      <c r="AG90" s="546"/>
      <c r="AH90" s="546"/>
      <c r="AI90" s="546"/>
      <c r="AJ90" s="546"/>
      <c r="AK90" s="546"/>
      <c r="AL90" s="546"/>
      <c r="AM90" s="546"/>
      <c r="AN90" s="546"/>
      <c r="AO90" s="546"/>
      <c r="AP90" s="546"/>
      <c r="AQ90" s="546"/>
      <c r="AR90" s="546"/>
      <c r="AS90" s="546"/>
      <c r="AT90" s="546"/>
      <c r="AU90" s="546"/>
      <c r="AV90" s="546"/>
      <c r="AW90" s="546"/>
      <c r="AX90" s="546"/>
      <c r="AY90" s="546"/>
      <c r="AZ90" s="546"/>
    </row>
    <row r="91" spans="1:52">
      <c r="A91" s="546"/>
      <c r="B91" s="546"/>
      <c r="C91" s="546"/>
      <c r="D91" s="546"/>
      <c r="E91" s="546"/>
      <c r="F91" s="546"/>
      <c r="G91" s="546"/>
      <c r="H91" s="546"/>
      <c r="I91" s="546"/>
      <c r="J91" s="546"/>
      <c r="K91" s="546"/>
      <c r="L91" s="546"/>
      <c r="M91" s="546"/>
      <c r="N91" s="546"/>
      <c r="O91" s="546"/>
      <c r="P91" s="546"/>
      <c r="Q91" s="546"/>
      <c r="R91" s="546"/>
      <c r="S91" s="546"/>
      <c r="T91" s="546"/>
      <c r="U91" s="546"/>
      <c r="V91" s="546"/>
      <c r="W91" s="546"/>
      <c r="X91" s="546"/>
      <c r="Y91" s="546"/>
      <c r="Z91" s="546"/>
      <c r="AA91" s="546"/>
      <c r="AB91" s="546"/>
      <c r="AC91" s="546"/>
      <c r="AD91" s="546"/>
      <c r="AE91" s="546"/>
      <c r="AF91" s="546"/>
      <c r="AG91" s="546"/>
      <c r="AH91" s="546"/>
      <c r="AI91" s="546"/>
      <c r="AJ91" s="546"/>
      <c r="AK91" s="546"/>
      <c r="AL91" s="546"/>
      <c r="AM91" s="546"/>
      <c r="AN91" s="546"/>
      <c r="AO91" s="546"/>
      <c r="AP91" s="546"/>
      <c r="AQ91" s="546"/>
      <c r="AR91" s="546"/>
      <c r="AS91" s="546"/>
      <c r="AT91" s="546"/>
      <c r="AU91" s="546"/>
      <c r="AV91" s="546"/>
      <c r="AW91" s="546"/>
      <c r="AX91" s="546"/>
      <c r="AY91" s="546"/>
      <c r="AZ91" s="546"/>
    </row>
    <row r="92" spans="1:52">
      <c r="A92" s="546"/>
      <c r="B92" s="546"/>
      <c r="C92" s="546"/>
      <c r="D92" s="546"/>
      <c r="E92" s="546"/>
      <c r="F92" s="546"/>
      <c r="G92" s="546"/>
      <c r="H92" s="546"/>
      <c r="I92" s="546"/>
      <c r="J92" s="546"/>
      <c r="K92" s="546"/>
      <c r="L92" s="546"/>
      <c r="M92" s="546"/>
      <c r="N92" s="546"/>
      <c r="O92" s="546"/>
      <c r="P92" s="546"/>
      <c r="Q92" s="546"/>
      <c r="R92" s="546"/>
      <c r="S92" s="546"/>
      <c r="T92" s="546"/>
      <c r="U92" s="546"/>
      <c r="V92" s="546"/>
      <c r="W92" s="546"/>
      <c r="X92" s="546"/>
      <c r="Y92" s="546"/>
      <c r="Z92" s="546"/>
      <c r="AA92" s="546"/>
      <c r="AB92" s="546"/>
      <c r="AC92" s="546"/>
      <c r="AD92" s="546"/>
      <c r="AE92" s="546"/>
      <c r="AF92" s="546"/>
      <c r="AG92" s="546"/>
      <c r="AH92" s="546"/>
      <c r="AI92" s="546"/>
      <c r="AJ92" s="546"/>
      <c r="AK92" s="546"/>
      <c r="AL92" s="546"/>
      <c r="AM92" s="546"/>
      <c r="AN92" s="546"/>
      <c r="AO92" s="546"/>
      <c r="AP92" s="546"/>
      <c r="AQ92" s="546"/>
      <c r="AR92" s="546"/>
      <c r="AS92" s="546"/>
      <c r="AT92" s="546"/>
      <c r="AU92" s="546"/>
      <c r="AV92" s="546"/>
      <c r="AW92" s="546"/>
      <c r="AX92" s="546"/>
      <c r="AY92" s="546"/>
      <c r="AZ92" s="546"/>
    </row>
    <row r="93" spans="1:52">
      <c r="A93" s="546"/>
      <c r="B93" s="546"/>
      <c r="C93" s="546"/>
      <c r="D93" s="546"/>
      <c r="E93" s="546"/>
      <c r="F93" s="546"/>
      <c r="G93" s="546"/>
      <c r="H93" s="546"/>
      <c r="I93" s="546"/>
      <c r="J93" s="546"/>
      <c r="K93" s="546"/>
      <c r="L93" s="546"/>
      <c r="M93" s="546"/>
      <c r="N93" s="546"/>
      <c r="O93" s="546"/>
      <c r="P93" s="546"/>
      <c r="Q93" s="546"/>
      <c r="R93" s="546"/>
      <c r="S93" s="546"/>
      <c r="T93" s="546"/>
      <c r="U93" s="546"/>
      <c r="V93" s="546"/>
      <c r="W93" s="546"/>
      <c r="X93" s="546"/>
      <c r="Y93" s="546"/>
      <c r="Z93" s="546"/>
      <c r="AA93" s="546"/>
      <c r="AB93" s="546"/>
      <c r="AC93" s="546"/>
      <c r="AD93" s="546"/>
      <c r="AE93" s="546"/>
      <c r="AF93" s="546"/>
      <c r="AG93" s="546"/>
      <c r="AH93" s="546"/>
      <c r="AI93" s="546"/>
      <c r="AJ93" s="546"/>
      <c r="AK93" s="546"/>
      <c r="AL93" s="546"/>
      <c r="AM93" s="546"/>
      <c r="AN93" s="546"/>
      <c r="AO93" s="546"/>
      <c r="AP93" s="546"/>
      <c r="AQ93" s="546"/>
      <c r="AR93" s="546"/>
      <c r="AS93" s="546"/>
      <c r="AT93" s="546"/>
      <c r="AU93" s="546"/>
      <c r="AV93" s="546"/>
      <c r="AW93" s="546"/>
      <c r="AX93" s="546"/>
      <c r="AY93" s="546"/>
      <c r="AZ93" s="546"/>
    </row>
    <row r="94" spans="1:52">
      <c r="A94" s="546"/>
      <c r="B94" s="546"/>
      <c r="C94" s="546"/>
      <c r="D94" s="546"/>
      <c r="E94" s="546"/>
      <c r="F94" s="546"/>
      <c r="G94" s="546"/>
      <c r="H94" s="546"/>
      <c r="I94" s="546"/>
      <c r="J94" s="546"/>
      <c r="K94" s="546"/>
      <c r="L94" s="546"/>
      <c r="M94" s="546"/>
      <c r="N94" s="546"/>
      <c r="O94" s="546"/>
      <c r="P94" s="546"/>
      <c r="Q94" s="546"/>
      <c r="R94" s="546"/>
      <c r="S94" s="546"/>
      <c r="T94" s="546"/>
      <c r="U94" s="546"/>
      <c r="V94" s="546"/>
      <c r="W94" s="546"/>
      <c r="X94" s="546"/>
      <c r="Y94" s="546"/>
      <c r="Z94" s="546"/>
      <c r="AA94" s="546"/>
      <c r="AB94" s="546"/>
      <c r="AC94" s="546"/>
      <c r="AD94" s="546"/>
      <c r="AE94" s="546"/>
      <c r="AF94" s="546"/>
      <c r="AG94" s="546"/>
      <c r="AH94" s="546"/>
      <c r="AI94" s="546"/>
      <c r="AJ94" s="546"/>
      <c r="AK94" s="546"/>
      <c r="AL94" s="546"/>
      <c r="AM94" s="546"/>
      <c r="AN94" s="546"/>
      <c r="AO94" s="546"/>
      <c r="AP94" s="546"/>
      <c r="AQ94" s="546"/>
      <c r="AR94" s="546"/>
      <c r="AS94" s="546"/>
      <c r="AT94" s="546"/>
      <c r="AU94" s="546"/>
      <c r="AV94" s="546"/>
      <c r="AW94" s="546"/>
      <c r="AX94" s="546"/>
      <c r="AY94" s="546"/>
      <c r="AZ94" s="546"/>
    </row>
    <row r="95" spans="1:52">
      <c r="A95" s="546"/>
      <c r="B95" s="546"/>
      <c r="C95" s="546"/>
      <c r="D95" s="546"/>
      <c r="E95" s="546"/>
      <c r="F95" s="546"/>
      <c r="G95" s="546"/>
      <c r="H95" s="546"/>
      <c r="I95" s="546"/>
      <c r="J95" s="546"/>
      <c r="K95" s="546"/>
      <c r="L95" s="546"/>
      <c r="M95" s="546"/>
      <c r="N95" s="546"/>
      <c r="O95" s="546"/>
      <c r="P95" s="546"/>
      <c r="Q95" s="546"/>
      <c r="R95" s="546"/>
      <c r="S95" s="546"/>
      <c r="T95" s="546"/>
      <c r="U95" s="546"/>
      <c r="V95" s="546"/>
      <c r="W95" s="546"/>
      <c r="X95" s="546"/>
      <c r="Y95" s="546"/>
      <c r="Z95" s="546"/>
      <c r="AA95" s="546"/>
      <c r="AB95" s="546"/>
      <c r="AC95" s="546"/>
      <c r="AD95" s="546"/>
      <c r="AE95" s="546"/>
      <c r="AF95" s="546"/>
      <c r="AG95" s="546"/>
      <c r="AH95" s="546"/>
      <c r="AI95" s="546"/>
      <c r="AJ95" s="546"/>
      <c r="AK95" s="546"/>
      <c r="AL95" s="546"/>
      <c r="AM95" s="546"/>
      <c r="AN95" s="546"/>
      <c r="AO95" s="546"/>
      <c r="AP95" s="546"/>
      <c r="AQ95" s="546"/>
      <c r="AR95" s="546"/>
      <c r="AS95" s="546"/>
      <c r="AT95" s="546"/>
      <c r="AU95" s="546"/>
      <c r="AV95" s="546"/>
      <c r="AW95" s="546"/>
      <c r="AX95" s="546"/>
      <c r="AY95" s="546"/>
      <c r="AZ95" s="546"/>
    </row>
    <row r="96" spans="1:52">
      <c r="A96" s="546"/>
      <c r="B96" s="546"/>
      <c r="C96" s="546"/>
      <c r="D96" s="546"/>
      <c r="E96" s="546"/>
      <c r="F96" s="546"/>
      <c r="G96" s="546"/>
      <c r="H96" s="546"/>
      <c r="I96" s="546"/>
      <c r="J96" s="546"/>
      <c r="K96" s="546"/>
      <c r="L96" s="546"/>
      <c r="M96" s="546"/>
      <c r="N96" s="546"/>
      <c r="O96" s="546"/>
      <c r="P96" s="546"/>
      <c r="Q96" s="546"/>
      <c r="R96" s="546"/>
      <c r="S96" s="546"/>
      <c r="T96" s="546"/>
      <c r="U96" s="546"/>
      <c r="V96" s="546"/>
      <c r="W96" s="546"/>
      <c r="X96" s="546"/>
      <c r="Y96" s="546"/>
      <c r="Z96" s="546"/>
      <c r="AA96" s="546"/>
      <c r="AB96" s="546"/>
      <c r="AC96" s="546"/>
      <c r="AD96" s="546"/>
      <c r="AE96" s="546"/>
      <c r="AF96" s="546"/>
      <c r="AG96" s="546"/>
      <c r="AH96" s="546"/>
      <c r="AI96" s="546"/>
      <c r="AJ96" s="546"/>
      <c r="AK96" s="546"/>
      <c r="AL96" s="546"/>
      <c r="AM96" s="546"/>
      <c r="AN96" s="546"/>
      <c r="AO96" s="546"/>
      <c r="AP96" s="546"/>
      <c r="AQ96" s="546"/>
      <c r="AR96" s="546"/>
      <c r="AS96" s="546"/>
      <c r="AT96" s="546"/>
      <c r="AU96" s="546"/>
      <c r="AV96" s="546"/>
      <c r="AW96" s="546"/>
      <c r="AX96" s="546"/>
      <c r="AY96" s="546"/>
      <c r="AZ96" s="546"/>
    </row>
    <row r="97" spans="1:52">
      <c r="A97" s="546"/>
      <c r="B97" s="546"/>
      <c r="C97" s="546"/>
      <c r="D97" s="546"/>
      <c r="E97" s="546"/>
      <c r="F97" s="546"/>
      <c r="G97" s="546"/>
      <c r="H97" s="546"/>
      <c r="I97" s="546"/>
      <c r="J97" s="546"/>
      <c r="K97" s="546"/>
      <c r="L97" s="546"/>
      <c r="M97" s="546"/>
      <c r="N97" s="546"/>
      <c r="O97" s="546"/>
      <c r="P97" s="546"/>
      <c r="Q97" s="546"/>
      <c r="R97" s="546"/>
      <c r="S97" s="546"/>
      <c r="T97" s="546"/>
      <c r="U97" s="546"/>
      <c r="V97" s="546"/>
      <c r="W97" s="546"/>
      <c r="X97" s="546"/>
      <c r="Y97" s="546"/>
      <c r="Z97" s="546"/>
      <c r="AA97" s="546"/>
      <c r="AB97" s="546"/>
      <c r="AC97" s="546"/>
      <c r="AD97" s="546"/>
      <c r="AE97" s="546"/>
      <c r="AF97" s="546"/>
      <c r="AG97" s="546"/>
      <c r="AH97" s="546"/>
      <c r="AI97" s="546"/>
      <c r="AJ97" s="546"/>
      <c r="AK97" s="546"/>
      <c r="AL97" s="546"/>
      <c r="AM97" s="546"/>
      <c r="AN97" s="546"/>
      <c r="AO97" s="546"/>
      <c r="AP97" s="546"/>
      <c r="AQ97" s="546"/>
      <c r="AR97" s="546"/>
      <c r="AS97" s="546"/>
      <c r="AT97" s="546"/>
      <c r="AU97" s="546"/>
      <c r="AV97" s="546"/>
      <c r="AW97" s="546"/>
      <c r="AX97" s="546"/>
      <c r="AY97" s="546"/>
      <c r="AZ97" s="546"/>
    </row>
    <row r="98" spans="1:52">
      <c r="A98" s="546"/>
      <c r="B98" s="546"/>
      <c r="C98" s="546"/>
      <c r="D98" s="546"/>
      <c r="E98" s="546"/>
      <c r="F98" s="546"/>
      <c r="G98" s="546"/>
      <c r="H98" s="546"/>
      <c r="I98" s="546"/>
      <c r="J98" s="546"/>
      <c r="K98" s="546"/>
      <c r="L98" s="546"/>
      <c r="M98" s="546"/>
      <c r="N98" s="546"/>
      <c r="O98" s="546"/>
      <c r="P98" s="546"/>
      <c r="Q98" s="546"/>
      <c r="R98" s="546"/>
      <c r="S98" s="546"/>
      <c r="T98" s="546"/>
      <c r="U98" s="546"/>
      <c r="V98" s="546"/>
      <c r="W98" s="546"/>
      <c r="X98" s="546"/>
      <c r="Y98" s="546"/>
      <c r="Z98" s="546"/>
      <c r="AA98" s="546"/>
      <c r="AB98" s="546"/>
      <c r="AC98" s="546"/>
      <c r="AD98" s="546"/>
      <c r="AE98" s="546"/>
      <c r="AF98" s="546"/>
      <c r="AG98" s="546"/>
      <c r="AH98" s="546"/>
      <c r="AI98" s="546"/>
      <c r="AJ98" s="546"/>
      <c r="AK98" s="546"/>
      <c r="AL98" s="546"/>
      <c r="AM98" s="546"/>
      <c r="AN98" s="546"/>
      <c r="AO98" s="546"/>
      <c r="AP98" s="546"/>
      <c r="AQ98" s="546"/>
      <c r="AR98" s="546"/>
      <c r="AS98" s="546"/>
      <c r="AT98" s="546"/>
      <c r="AU98" s="546"/>
      <c r="AV98" s="546"/>
      <c r="AW98" s="546"/>
      <c r="AX98" s="546"/>
      <c r="AY98" s="546"/>
      <c r="AZ98" s="546"/>
    </row>
    <row r="99" spans="1:52">
      <c r="A99" s="546"/>
      <c r="B99" s="546"/>
      <c r="C99" s="546"/>
      <c r="D99" s="546"/>
      <c r="E99" s="546"/>
      <c r="F99" s="546"/>
      <c r="G99" s="546"/>
      <c r="H99" s="546"/>
      <c r="I99" s="546"/>
      <c r="J99" s="546"/>
      <c r="K99" s="546"/>
      <c r="L99" s="546"/>
      <c r="M99" s="546"/>
      <c r="N99" s="546"/>
      <c r="O99" s="546"/>
      <c r="P99" s="546"/>
      <c r="Q99" s="546"/>
      <c r="R99" s="546"/>
      <c r="S99" s="546"/>
      <c r="T99" s="546"/>
      <c r="U99" s="546"/>
      <c r="V99" s="546"/>
      <c r="W99" s="546"/>
      <c r="X99" s="546"/>
      <c r="Y99" s="546"/>
      <c r="Z99" s="546"/>
      <c r="AA99" s="546"/>
      <c r="AB99" s="546"/>
      <c r="AC99" s="546"/>
      <c r="AD99" s="546"/>
      <c r="AE99" s="546"/>
      <c r="AF99" s="546"/>
      <c r="AG99" s="546"/>
      <c r="AH99" s="546"/>
      <c r="AI99" s="546"/>
      <c r="AJ99" s="546"/>
      <c r="AK99" s="546"/>
      <c r="AL99" s="546"/>
      <c r="AM99" s="546"/>
      <c r="AN99" s="546"/>
      <c r="AO99" s="546"/>
      <c r="AP99" s="546"/>
      <c r="AQ99" s="546"/>
      <c r="AR99" s="546"/>
      <c r="AS99" s="546"/>
      <c r="AT99" s="546"/>
      <c r="AU99" s="546"/>
      <c r="AV99" s="546"/>
      <c r="AW99" s="546"/>
      <c r="AX99" s="546"/>
      <c r="AY99" s="546"/>
      <c r="AZ99" s="546"/>
    </row>
    <row r="100" spans="1:52">
      <c r="A100" s="546"/>
      <c r="B100" s="546"/>
      <c r="C100" s="546"/>
      <c r="D100" s="546"/>
      <c r="E100" s="546"/>
      <c r="F100" s="546"/>
      <c r="G100" s="546"/>
      <c r="H100" s="546"/>
      <c r="I100" s="546"/>
      <c r="J100" s="546"/>
      <c r="K100" s="546"/>
      <c r="L100" s="546"/>
      <c r="M100" s="546"/>
      <c r="N100" s="546"/>
      <c r="O100" s="546"/>
      <c r="P100" s="546"/>
      <c r="Q100" s="546"/>
      <c r="R100" s="546"/>
      <c r="S100" s="546"/>
      <c r="T100" s="546"/>
      <c r="U100" s="546"/>
      <c r="V100" s="546"/>
      <c r="W100" s="546"/>
      <c r="X100" s="546"/>
      <c r="Y100" s="546"/>
      <c r="Z100" s="546"/>
      <c r="AA100" s="546"/>
      <c r="AB100" s="546"/>
      <c r="AC100" s="546"/>
      <c r="AD100" s="546"/>
      <c r="AE100" s="546"/>
      <c r="AF100" s="546"/>
      <c r="AG100" s="546"/>
      <c r="AH100" s="546"/>
      <c r="AI100" s="546"/>
      <c r="AJ100" s="546"/>
      <c r="AK100" s="546"/>
      <c r="AL100" s="546"/>
      <c r="AM100" s="546"/>
      <c r="AN100" s="546"/>
      <c r="AO100" s="546"/>
      <c r="AP100" s="546"/>
      <c r="AQ100" s="546"/>
      <c r="AR100" s="546"/>
      <c r="AS100" s="546"/>
      <c r="AT100" s="546"/>
      <c r="AU100" s="546"/>
      <c r="AV100" s="546"/>
      <c r="AW100" s="546"/>
      <c r="AX100" s="546"/>
      <c r="AY100" s="546"/>
      <c r="AZ100" s="546"/>
    </row>
    <row r="101" spans="1:52">
      <c r="A101" s="546"/>
      <c r="B101" s="546"/>
      <c r="C101" s="546"/>
      <c r="D101" s="546"/>
      <c r="E101" s="546"/>
      <c r="F101" s="546"/>
      <c r="G101" s="546"/>
      <c r="H101" s="546"/>
      <c r="I101" s="546"/>
      <c r="J101" s="546"/>
      <c r="K101" s="546"/>
      <c r="L101" s="546"/>
      <c r="M101" s="546"/>
      <c r="N101" s="546"/>
      <c r="O101" s="546"/>
      <c r="P101" s="546"/>
      <c r="Q101" s="546"/>
      <c r="R101" s="546"/>
      <c r="S101" s="546"/>
      <c r="T101" s="546"/>
      <c r="U101" s="546"/>
      <c r="V101" s="546"/>
      <c r="W101" s="546"/>
      <c r="X101" s="546"/>
      <c r="Y101" s="546"/>
      <c r="Z101" s="546"/>
      <c r="AA101" s="546"/>
      <c r="AB101" s="546"/>
      <c r="AC101" s="546"/>
      <c r="AD101" s="546"/>
      <c r="AE101" s="546"/>
      <c r="AF101" s="546"/>
      <c r="AG101" s="546"/>
      <c r="AH101" s="546"/>
      <c r="AI101" s="546"/>
      <c r="AJ101" s="546"/>
      <c r="AK101" s="546"/>
      <c r="AL101" s="546"/>
      <c r="AM101" s="546"/>
      <c r="AN101" s="546"/>
      <c r="AO101" s="546"/>
      <c r="AP101" s="546"/>
      <c r="AQ101" s="546"/>
      <c r="AR101" s="546"/>
      <c r="AS101" s="546"/>
      <c r="AT101" s="546"/>
      <c r="AU101" s="546"/>
      <c r="AV101" s="546"/>
      <c r="AW101" s="546"/>
      <c r="AX101" s="546"/>
      <c r="AY101" s="546"/>
      <c r="AZ101" s="546"/>
    </row>
  </sheetData>
  <mergeCells count="3">
    <mergeCell ref="C2:D2"/>
    <mergeCell ref="F2:H2"/>
    <mergeCell ref="C3:R3"/>
  </mergeCells>
  <phoneticPr fontId="66" type="noConversion"/>
  <pageMargins left="0.7" right="0.7" top="0.75" bottom="0.75" header="0.3" footer="0.3"/>
  <pageSetup paperSize="9" orientation="portrait" horizontalDpi="300" verticalDpi="300" r:id="rId1"/>
  <ignoredErrors>
    <ignoredError sqref="P7 P18:Q18 Q29 P26:Q26 P39:Q39 P47:Q47 P57:Q57 P65:Q65 P68:Q68 P71:Q71 P37:Q37 P30 P28 P22:Q22" 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F039AACF-C6F7-4E37-8DD6-BD8A31270979}">
            <xm:f>$L6 ='3-Link Scenario Planner'!$E$57</xm:f>
            <x14:dxf>
              <fill>
                <patternFill>
                  <bgColor rgb="FFFFFF00"/>
                </patternFill>
              </fill>
            </x14:dxf>
          </x14:cfRule>
          <xm:sqref>B6:R72</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tabColor indexed="47"/>
  </sheetPr>
  <dimension ref="A1:Z50"/>
  <sheetViews>
    <sheetView zoomScale="90" zoomScaleNormal="90" workbookViewId="0"/>
  </sheetViews>
  <sheetFormatPr baseColWidth="10" defaultColWidth="8.83203125" defaultRowHeight="13"/>
  <cols>
    <col min="2" max="2" width="39.33203125" customWidth="1"/>
    <col min="3" max="3" width="27.33203125" customWidth="1"/>
    <col min="4" max="4" width="21.33203125" customWidth="1"/>
    <col min="6" max="6" width="16.5" customWidth="1"/>
  </cols>
  <sheetData>
    <row r="1" spans="1:26" ht="21" thickBot="1">
      <c r="A1" s="654" t="s">
        <v>652</v>
      </c>
      <c r="B1" s="604" t="s">
        <v>655</v>
      </c>
      <c r="C1" s="424"/>
      <c r="D1" s="424"/>
      <c r="E1" s="424"/>
      <c r="F1" s="424"/>
      <c r="G1" s="424"/>
      <c r="H1" s="424"/>
      <c r="I1" s="424"/>
      <c r="J1" s="424"/>
      <c r="K1" s="424"/>
      <c r="L1" s="424"/>
      <c r="M1" s="424"/>
      <c r="N1" s="424"/>
      <c r="O1" s="424"/>
      <c r="P1" s="424"/>
      <c r="Q1" s="424"/>
      <c r="R1" s="424"/>
      <c r="S1" s="424"/>
      <c r="T1" s="424"/>
      <c r="U1" s="424"/>
      <c r="V1" s="424"/>
      <c r="W1" s="424"/>
      <c r="X1" s="424"/>
      <c r="Y1" s="424"/>
      <c r="Z1" s="424"/>
    </row>
    <row r="2" spans="1:26" ht="17" thickBot="1">
      <c r="A2" s="284"/>
      <c r="B2" s="284"/>
      <c r="C2" s="284"/>
      <c r="D2" s="284"/>
      <c r="E2" s="284"/>
      <c r="F2" s="284"/>
      <c r="G2" s="284"/>
      <c r="H2" s="284"/>
      <c r="I2" s="284"/>
      <c r="J2" s="284"/>
      <c r="K2" s="284"/>
      <c r="L2" s="284"/>
      <c r="M2" s="284"/>
      <c r="N2" s="284"/>
      <c r="O2" s="284"/>
      <c r="P2" s="284"/>
      <c r="Q2" s="284"/>
      <c r="R2" s="284"/>
      <c r="S2" s="284"/>
      <c r="T2" s="284"/>
      <c r="U2" s="284"/>
      <c r="V2" s="284"/>
      <c r="W2" s="284"/>
      <c r="X2" s="284"/>
      <c r="Y2" s="284"/>
      <c r="Z2" s="284"/>
    </row>
    <row r="3" spans="1:26" ht="17" thickTop="1">
      <c r="A3" s="284"/>
      <c r="B3" s="1038" t="s">
        <v>253</v>
      </c>
      <c r="C3" s="1039"/>
      <c r="D3" s="1036"/>
      <c r="E3" s="284"/>
      <c r="F3" s="284"/>
      <c r="G3" s="284"/>
      <c r="H3" s="284"/>
      <c r="I3" s="284"/>
      <c r="J3" s="284"/>
      <c r="K3" s="284"/>
      <c r="L3" s="284"/>
      <c r="M3" s="284"/>
      <c r="N3" s="284"/>
      <c r="O3" s="284"/>
      <c r="P3" s="284"/>
      <c r="Q3" s="284"/>
      <c r="R3" s="284"/>
      <c r="S3" s="284"/>
      <c r="T3" s="284"/>
      <c r="U3" s="284"/>
      <c r="V3" s="284"/>
      <c r="W3" s="284"/>
      <c r="X3" s="284"/>
      <c r="Y3" s="284"/>
      <c r="Z3" s="284"/>
    </row>
    <row r="4" spans="1:26" ht="17" thickBot="1">
      <c r="A4" s="284"/>
      <c r="B4" s="1040" t="s">
        <v>212</v>
      </c>
      <c r="C4" s="1041"/>
      <c r="D4" s="409">
        <f>version()</f>
        <v>20060213</v>
      </c>
      <c r="E4" s="284"/>
      <c r="F4" s="284"/>
      <c r="G4" s="284"/>
      <c r="H4" s="284"/>
      <c r="I4" s="284"/>
      <c r="J4" s="284"/>
      <c r="K4" s="284"/>
      <c r="L4" s="284"/>
      <c r="M4" s="284"/>
      <c r="N4" s="284"/>
      <c r="O4" s="284"/>
      <c r="P4" s="284"/>
      <c r="Q4" s="284"/>
      <c r="R4" s="284"/>
      <c r="S4" s="284"/>
      <c r="T4" s="284"/>
      <c r="U4" s="284"/>
      <c r="V4" s="284"/>
      <c r="W4" s="284"/>
      <c r="X4" s="284"/>
      <c r="Y4" s="284"/>
      <c r="Z4" s="284"/>
    </row>
    <row r="5" spans="1:26" ht="18" thickTop="1" thickBot="1">
      <c r="A5" s="284"/>
      <c r="B5" s="284"/>
      <c r="C5" s="284"/>
      <c r="D5" s="284"/>
      <c r="E5" s="284"/>
      <c r="F5" s="284"/>
      <c r="G5" s="284"/>
      <c r="H5" s="284"/>
      <c r="I5" s="284"/>
      <c r="J5" s="284"/>
      <c r="K5" s="284"/>
      <c r="L5" s="284"/>
      <c r="M5" s="284"/>
      <c r="N5" s="284"/>
      <c r="O5" s="284"/>
      <c r="P5" s="284"/>
      <c r="Q5" s="284"/>
      <c r="R5" s="284"/>
      <c r="S5" s="284"/>
      <c r="T5" s="284"/>
      <c r="U5" s="284"/>
      <c r="V5" s="284"/>
      <c r="W5" s="284"/>
      <c r="X5" s="284"/>
      <c r="Y5" s="284"/>
      <c r="Z5" s="284"/>
    </row>
    <row r="6" spans="1:26" ht="18" thickTop="1" thickBot="1">
      <c r="A6" s="284"/>
      <c r="B6" s="1034" t="s">
        <v>254</v>
      </c>
      <c r="C6" s="1035"/>
      <c r="D6" s="1036"/>
      <c r="E6" s="284"/>
      <c r="F6" s="284"/>
      <c r="G6" s="284"/>
      <c r="H6" s="284"/>
      <c r="I6" s="284"/>
      <c r="J6" s="284"/>
      <c r="K6" s="284"/>
      <c r="L6" s="284"/>
      <c r="M6" s="284"/>
      <c r="N6" s="284"/>
      <c r="O6" s="284"/>
      <c r="P6" s="284"/>
      <c r="Q6" s="284"/>
      <c r="R6" s="284"/>
      <c r="S6" s="284"/>
      <c r="T6" s="284"/>
      <c r="U6" s="284"/>
      <c r="V6" s="284"/>
      <c r="W6" s="284"/>
      <c r="X6" s="284"/>
      <c r="Y6" s="284"/>
      <c r="Z6" s="284"/>
    </row>
    <row r="7" spans="1:26" ht="17" thickTop="1">
      <c r="A7" s="284"/>
      <c r="B7" s="410" t="s">
        <v>255</v>
      </c>
      <c r="C7" s="411" t="s">
        <v>256</v>
      </c>
      <c r="D7" s="632">
        <f>'3-Link Scenario Planner'!$E$17</f>
        <v>38.380000000000003</v>
      </c>
      <c r="E7" s="284"/>
      <c r="F7" s="284"/>
      <c r="G7" s="284"/>
      <c r="H7" s="284"/>
      <c r="I7" s="284"/>
      <c r="J7" s="284"/>
      <c r="K7" s="284"/>
      <c r="L7" s="284"/>
      <c r="M7" s="284"/>
      <c r="N7" s="284"/>
      <c r="O7" s="284"/>
      <c r="P7" s="284"/>
      <c r="Q7" s="284"/>
      <c r="R7" s="284"/>
      <c r="S7" s="284"/>
      <c r="T7" s="284"/>
      <c r="U7" s="284"/>
      <c r="V7" s="284"/>
      <c r="W7" s="284"/>
      <c r="X7" s="284"/>
      <c r="Y7" s="284"/>
      <c r="Z7" s="284"/>
    </row>
    <row r="8" spans="1:26" ht="16">
      <c r="A8" s="284"/>
      <c r="B8" s="412" t="s">
        <v>257</v>
      </c>
      <c r="C8" s="413" t="s">
        <v>256</v>
      </c>
      <c r="D8" s="632">
        <f>'3-Link Scenario Planner'!$E$19</f>
        <v>-103.16</v>
      </c>
      <c r="E8" s="284"/>
      <c r="F8" s="284"/>
      <c r="G8" s="284"/>
      <c r="H8" s="284"/>
      <c r="I8" s="284"/>
      <c r="J8" s="284"/>
      <c r="K8" s="284"/>
      <c r="L8" s="284"/>
      <c r="M8" s="284"/>
      <c r="N8" s="284"/>
      <c r="O8" s="284"/>
      <c r="P8" s="284"/>
      <c r="Q8" s="284"/>
      <c r="R8" s="284"/>
      <c r="S8" s="284"/>
      <c r="T8" s="284"/>
      <c r="U8" s="284"/>
      <c r="V8" s="284"/>
      <c r="W8" s="284"/>
      <c r="X8" s="284"/>
      <c r="Y8" s="284"/>
      <c r="Z8" s="284"/>
    </row>
    <row r="9" spans="1:26" ht="16">
      <c r="A9" s="284"/>
      <c r="B9" s="412" t="s">
        <v>258</v>
      </c>
      <c r="C9" s="413" t="s">
        <v>259</v>
      </c>
      <c r="D9" s="631">
        <f>'4B-Earth Stations'!G26</f>
        <v>1.385</v>
      </c>
      <c r="E9" s="284"/>
      <c r="F9" s="284"/>
      <c r="G9" s="284"/>
      <c r="H9" s="284"/>
      <c r="I9" s="284"/>
      <c r="J9" s="284"/>
      <c r="K9" s="284"/>
      <c r="L9" s="284"/>
      <c r="M9" s="284"/>
      <c r="N9" s="284"/>
      <c r="O9" s="284"/>
      <c r="P9" s="284"/>
      <c r="Q9" s="284"/>
      <c r="R9" s="284"/>
      <c r="S9" s="284"/>
      <c r="T9" s="284"/>
      <c r="U9" s="284"/>
      <c r="V9" s="284"/>
      <c r="W9" s="284" t="s">
        <v>3</v>
      </c>
      <c r="X9" s="284"/>
      <c r="Y9" s="284"/>
      <c r="Z9" s="284"/>
    </row>
    <row r="10" spans="1:26" ht="17" thickBot="1">
      <c r="A10" s="284"/>
      <c r="B10" s="414" t="s">
        <v>260</v>
      </c>
      <c r="C10" s="415" t="s">
        <v>256</v>
      </c>
      <c r="D10" s="633">
        <f>'4A-Orbit'!G26</f>
        <v>20</v>
      </c>
      <c r="E10" s="284"/>
      <c r="F10" s="284"/>
      <c r="G10" s="284"/>
      <c r="H10" s="284"/>
      <c r="I10" s="284"/>
      <c r="J10" s="284"/>
      <c r="K10" s="284"/>
      <c r="L10" s="284"/>
      <c r="M10" s="284"/>
      <c r="N10" s="284"/>
      <c r="O10" s="284"/>
      <c r="P10" s="284"/>
      <c r="Q10" s="284"/>
      <c r="R10" s="284"/>
      <c r="S10" s="284"/>
      <c r="T10" s="284"/>
      <c r="U10" s="284"/>
      <c r="V10" s="284"/>
      <c r="W10" s="284"/>
      <c r="X10" s="284"/>
      <c r="Y10" s="284"/>
      <c r="Z10" s="284"/>
    </row>
    <row r="11" spans="1:26" ht="18" thickTop="1" thickBot="1">
      <c r="A11" s="284"/>
      <c r="B11" s="1042" t="s">
        <v>261</v>
      </c>
      <c r="C11" s="1043"/>
      <c r="D11" s="1044"/>
      <c r="E11" s="284"/>
      <c r="F11" s="284"/>
      <c r="G11" s="284"/>
      <c r="H11" s="284"/>
      <c r="I11" s="284"/>
      <c r="J11" s="284"/>
      <c r="K11" s="284"/>
      <c r="L11" s="284"/>
      <c r="M11" s="284"/>
      <c r="N11" s="284"/>
      <c r="O11" s="284"/>
      <c r="P11" s="284"/>
      <c r="Q11" s="284"/>
      <c r="R11" s="284"/>
      <c r="S11" s="284"/>
      <c r="T11" s="284"/>
      <c r="U11" s="284"/>
      <c r="V11" s="284"/>
      <c r="W11" s="284"/>
      <c r="X11" s="284"/>
      <c r="Y11" s="284"/>
      <c r="Z11" s="284"/>
    </row>
    <row r="12" spans="1:26" ht="17" thickTop="1">
      <c r="A12" s="284"/>
      <c r="B12" s="412" t="s">
        <v>303</v>
      </c>
      <c r="C12" s="416" t="s">
        <v>262</v>
      </c>
      <c r="D12" s="634">
        <f>IF('7-User Terminal Set-Up'!G19="Yes", '7-User Terminal Set-Up'!C16, '3-Link Scenario Planner'!E7)</f>
        <v>1</v>
      </c>
      <c r="E12" s="284"/>
      <c r="F12" s="284"/>
      <c r="G12" s="284"/>
      <c r="H12" s="284"/>
      <c r="I12" s="284"/>
      <c r="J12" s="284"/>
      <c r="K12" s="284"/>
      <c r="L12" s="284"/>
      <c r="M12" s="284"/>
      <c r="N12" s="284"/>
      <c r="O12" s="284"/>
      <c r="P12" s="284"/>
      <c r="Q12" s="284"/>
      <c r="R12" s="284"/>
      <c r="S12" s="284"/>
      <c r="T12" s="284"/>
      <c r="U12" s="284"/>
      <c r="V12" s="284"/>
      <c r="W12" s="284"/>
      <c r="X12" s="284"/>
      <c r="Y12" s="284"/>
      <c r="Z12" s="284"/>
    </row>
    <row r="13" spans="1:26" ht="17" thickBot="1">
      <c r="A13" s="284"/>
      <c r="B13" s="414" t="s">
        <v>263</v>
      </c>
      <c r="C13" s="417" t="s">
        <v>264</v>
      </c>
      <c r="D13" s="635">
        <f>IF('7-User Terminal Set-Up'!G19="Yes",'7-User Terminal Set-Up'!C17,'3-Link Scenario Planner'!AA3*100)</f>
        <v>60</v>
      </c>
      <c r="E13" s="284"/>
      <c r="F13" s="284"/>
      <c r="G13" s="284"/>
      <c r="H13" s="284"/>
      <c r="I13" s="284"/>
      <c r="J13" s="284"/>
      <c r="K13" s="284"/>
      <c r="L13" s="284"/>
      <c r="M13" s="284"/>
      <c r="N13" s="284"/>
      <c r="O13" s="284"/>
      <c r="P13" s="284"/>
      <c r="Q13" s="284"/>
      <c r="R13" s="284"/>
      <c r="S13" s="284"/>
      <c r="T13" s="284"/>
      <c r="U13" s="284"/>
      <c r="V13" s="284"/>
      <c r="W13" s="284"/>
      <c r="X13" s="284"/>
      <c r="Y13" s="284"/>
      <c r="Z13" s="284"/>
    </row>
    <row r="14" spans="1:26" ht="18" thickTop="1" thickBot="1">
      <c r="A14" s="284"/>
      <c r="B14" s="1034" t="s">
        <v>265</v>
      </c>
      <c r="C14" s="1035"/>
      <c r="D14" s="1036"/>
      <c r="E14" s="284"/>
      <c r="F14" s="284"/>
      <c r="G14" s="284"/>
      <c r="H14" s="284"/>
      <c r="I14" s="284"/>
      <c r="J14" s="284"/>
      <c r="K14" s="284"/>
      <c r="L14" s="284"/>
      <c r="M14" s="284"/>
      <c r="N14" s="284"/>
      <c r="O14" s="284"/>
      <c r="P14" s="284"/>
      <c r="Q14" s="284"/>
      <c r="R14" s="284"/>
      <c r="S14" s="284"/>
      <c r="T14" s="284"/>
      <c r="U14" s="284"/>
      <c r="V14" s="284"/>
      <c r="W14" s="284"/>
      <c r="X14" s="284"/>
      <c r="Y14" s="284"/>
      <c r="Z14" s="284"/>
    </row>
    <row r="15" spans="1:26" ht="17" thickTop="1">
      <c r="A15" s="284"/>
      <c r="B15" s="412" t="s">
        <v>266</v>
      </c>
      <c r="C15" s="416" t="s">
        <v>267</v>
      </c>
      <c r="D15" s="939">
        <f>'5-Frequency'!C6/1000</f>
        <v>24.024999999999999</v>
      </c>
      <c r="E15" s="284"/>
      <c r="F15" s="284"/>
      <c r="G15" s="284"/>
      <c r="H15" s="284"/>
      <c r="I15" s="284"/>
      <c r="J15" s="284"/>
      <c r="K15" s="284"/>
      <c r="L15" s="284"/>
      <c r="M15" s="284"/>
      <c r="N15" s="284"/>
      <c r="O15" s="284"/>
      <c r="P15" s="284"/>
      <c r="Q15" s="284"/>
      <c r="R15" s="284"/>
      <c r="S15" s="284"/>
      <c r="T15" s="284"/>
      <c r="U15" s="284"/>
      <c r="V15" s="284"/>
      <c r="W15" s="284"/>
      <c r="X15" s="284"/>
      <c r="Y15" s="284"/>
      <c r="Z15" s="284"/>
    </row>
    <row r="16" spans="1:26" ht="16">
      <c r="A16" s="284"/>
      <c r="B16" s="412" t="s">
        <v>268</v>
      </c>
      <c r="C16" s="416" t="s">
        <v>269</v>
      </c>
      <c r="D16" s="418">
        <v>45</v>
      </c>
      <c r="E16" s="284"/>
      <c r="F16" s="284"/>
      <c r="G16" s="284"/>
      <c r="H16" s="284"/>
      <c r="I16" s="284"/>
      <c r="J16" s="284"/>
      <c r="K16" s="284"/>
      <c r="L16" s="284"/>
      <c r="M16" s="284"/>
      <c r="N16" s="284"/>
      <c r="O16" s="284"/>
      <c r="P16" s="284"/>
      <c r="Q16" s="284"/>
      <c r="R16" s="284"/>
      <c r="S16" s="284"/>
      <c r="T16" s="284"/>
      <c r="U16" s="284"/>
      <c r="V16" s="284"/>
      <c r="W16" s="284"/>
      <c r="X16" s="284"/>
      <c r="Y16" s="284"/>
      <c r="Z16" s="284"/>
    </row>
    <row r="17" spans="1:26" ht="17" thickBot="1">
      <c r="A17" s="284"/>
      <c r="B17" s="414" t="s">
        <v>270</v>
      </c>
      <c r="C17" s="417" t="s">
        <v>264</v>
      </c>
      <c r="D17" s="636">
        <v>0.5</v>
      </c>
      <c r="E17" s="284"/>
      <c r="F17" s="638">
        <f>'3-Link Scenario Planner'!$E$15/100</f>
        <v>0.995</v>
      </c>
      <c r="G17" s="323" t="s">
        <v>312</v>
      </c>
      <c r="H17" s="284"/>
      <c r="I17" s="284"/>
      <c r="J17" s="284"/>
      <c r="K17" s="284"/>
      <c r="L17" s="284"/>
      <c r="M17" s="284"/>
      <c r="N17" s="284"/>
      <c r="O17" s="284"/>
      <c r="P17" s="284"/>
      <c r="Q17" s="284"/>
      <c r="R17" s="284"/>
      <c r="S17" s="284"/>
      <c r="T17" s="284"/>
      <c r="U17" s="284"/>
      <c r="V17" s="284"/>
      <c r="W17" s="284"/>
      <c r="X17" s="284"/>
      <c r="Y17" s="284"/>
      <c r="Z17" s="284"/>
    </row>
    <row r="18" spans="1:26" ht="18" thickTop="1" thickBot="1">
      <c r="A18" s="284"/>
      <c r="B18" s="284"/>
      <c r="C18" s="284"/>
      <c r="D18" s="284"/>
      <c r="E18" s="284"/>
      <c r="F18" s="284"/>
      <c r="G18" s="284"/>
      <c r="H18" s="284"/>
      <c r="I18" s="284"/>
      <c r="J18" s="284"/>
      <c r="K18" s="284"/>
      <c r="L18" s="284"/>
      <c r="M18" s="284"/>
      <c r="N18" s="284"/>
      <c r="O18" s="284"/>
      <c r="P18" s="284"/>
      <c r="Q18" s="284"/>
      <c r="R18" s="284"/>
      <c r="S18" s="284"/>
      <c r="T18" s="284"/>
      <c r="U18" s="284"/>
      <c r="V18" s="284"/>
      <c r="W18" s="284"/>
      <c r="X18" s="284"/>
      <c r="Y18" s="284"/>
      <c r="Z18" s="284"/>
    </row>
    <row r="19" spans="1:26" ht="18" thickTop="1" thickBot="1">
      <c r="A19" s="284"/>
      <c r="B19" s="1034" t="s">
        <v>271</v>
      </c>
      <c r="C19" s="1035"/>
      <c r="D19" s="1037"/>
      <c r="E19" s="284"/>
      <c r="F19" s="284"/>
      <c r="G19" s="284"/>
      <c r="H19" s="284"/>
      <c r="I19" s="284"/>
      <c r="J19" s="284"/>
      <c r="K19" s="284"/>
      <c r="L19" s="284"/>
      <c r="M19" s="284"/>
      <c r="N19" s="284"/>
      <c r="O19" s="284"/>
      <c r="P19" s="284"/>
      <c r="Q19" s="284"/>
      <c r="R19" s="284"/>
      <c r="S19" s="284"/>
      <c r="T19" s="284"/>
      <c r="U19" s="284"/>
      <c r="V19" s="284"/>
      <c r="W19" s="284"/>
      <c r="X19" s="284"/>
      <c r="Y19" s="284"/>
      <c r="Z19" s="284"/>
    </row>
    <row r="20" spans="1:26" ht="17" thickTop="1">
      <c r="A20" s="284"/>
      <c r="B20" s="412" t="s">
        <v>272</v>
      </c>
      <c r="C20" s="416" t="s">
        <v>273</v>
      </c>
      <c r="D20" s="419" t="e">
        <f ca="1">rain_intensity(D7,D8,0.01)</f>
        <v>#NAME?</v>
      </c>
      <c r="E20" s="284"/>
      <c r="F20" s="324"/>
      <c r="G20" s="284"/>
      <c r="H20" s="284"/>
      <c r="I20" s="284"/>
      <c r="J20" s="284"/>
      <c r="K20" s="284"/>
      <c r="L20" s="284"/>
      <c r="M20" s="284"/>
      <c r="N20" s="284"/>
      <c r="O20" s="284"/>
      <c r="P20" s="284"/>
      <c r="Q20" s="284"/>
      <c r="R20" s="284"/>
      <c r="S20" s="284"/>
      <c r="T20" s="284"/>
      <c r="U20" s="284"/>
      <c r="V20" s="284"/>
      <c r="W20" s="284"/>
      <c r="X20" s="284"/>
      <c r="Y20" s="284"/>
      <c r="Z20" s="284"/>
    </row>
    <row r="21" spans="1:26" ht="16">
      <c r="A21" s="284"/>
      <c r="B21" s="412" t="s">
        <v>274</v>
      </c>
      <c r="C21" s="416" t="s">
        <v>275</v>
      </c>
      <c r="D21" s="419" t="e">
        <f ca="1">Nwet(D7,D8)</f>
        <v>#NAME?</v>
      </c>
      <c r="E21" s="284"/>
      <c r="F21" s="284"/>
      <c r="G21" s="284"/>
      <c r="H21" s="284"/>
      <c r="I21" s="284"/>
      <c r="J21" s="284"/>
      <c r="K21" s="284"/>
      <c r="L21" s="284"/>
      <c r="M21" s="284"/>
      <c r="N21" s="284"/>
      <c r="O21" s="284"/>
      <c r="P21" s="284"/>
      <c r="Q21" s="284"/>
      <c r="R21" s="284"/>
      <c r="S21" s="284"/>
      <c r="T21" s="284"/>
      <c r="U21" s="284"/>
      <c r="V21" s="284"/>
      <c r="W21" s="284"/>
      <c r="X21" s="284"/>
      <c r="Y21" s="284"/>
      <c r="Z21" s="284"/>
    </row>
    <row r="22" spans="1:26" ht="16">
      <c r="A22" s="284"/>
      <c r="B22" s="412" t="s">
        <v>276</v>
      </c>
      <c r="C22" s="416" t="s">
        <v>259</v>
      </c>
      <c r="D22" s="419" t="e">
        <f ca="1">rain_height(D7,D8)</f>
        <v>#NAME?</v>
      </c>
      <c r="E22" s="284"/>
      <c r="F22" s="284"/>
      <c r="G22" s="284"/>
      <c r="H22" s="284"/>
      <c r="I22" s="284"/>
      <c r="J22" s="284"/>
      <c r="K22" s="284"/>
      <c r="L22" s="284"/>
      <c r="M22" s="284"/>
      <c r="N22" s="284"/>
      <c r="O22" s="284"/>
      <c r="P22" s="284"/>
      <c r="Q22" s="284"/>
      <c r="R22" s="284"/>
      <c r="S22" s="284"/>
      <c r="T22" s="284"/>
      <c r="U22" s="284"/>
      <c r="V22" s="284"/>
      <c r="W22" s="284"/>
      <c r="X22" s="284"/>
      <c r="Y22" s="284"/>
      <c r="Z22" s="284"/>
    </row>
    <row r="23" spans="1:26" ht="16">
      <c r="A23" s="284"/>
      <c r="B23" s="412" t="s">
        <v>277</v>
      </c>
      <c r="C23" s="416" t="s">
        <v>278</v>
      </c>
      <c r="D23" s="419" t="e">
        <f ca="1">TTC(D7,D8,D17)</f>
        <v>#NAME?</v>
      </c>
      <c r="E23" s="284"/>
      <c r="F23" s="284"/>
      <c r="G23" s="284"/>
      <c r="H23" s="284"/>
      <c r="I23" s="284"/>
      <c r="J23" s="284"/>
      <c r="K23" s="284"/>
      <c r="L23" s="284"/>
      <c r="M23" s="284"/>
      <c r="N23" s="284"/>
      <c r="O23" s="284"/>
      <c r="P23" s="284"/>
      <c r="Q23" s="284"/>
      <c r="R23" s="284"/>
      <c r="S23" s="284"/>
      <c r="T23" s="284"/>
      <c r="U23" s="284"/>
      <c r="V23" s="284"/>
      <c r="W23" s="284"/>
      <c r="X23" s="284"/>
      <c r="Y23" s="284"/>
      <c r="Z23" s="284"/>
    </row>
    <row r="24" spans="1:26" ht="16">
      <c r="A24" s="284"/>
      <c r="B24" s="412" t="s">
        <v>279</v>
      </c>
      <c r="C24" s="416" t="s">
        <v>280</v>
      </c>
      <c r="D24" s="419" t="e">
        <f ca="1">WVC(D7,D8)</f>
        <v>#NAME?</v>
      </c>
      <c r="E24" s="284"/>
      <c r="F24" s="284"/>
      <c r="G24" s="284"/>
      <c r="H24" s="284"/>
      <c r="I24" s="284"/>
      <c r="J24" s="284"/>
      <c r="K24" s="284"/>
      <c r="L24" s="284"/>
      <c r="M24" s="284"/>
      <c r="N24" s="284"/>
      <c r="O24" s="284"/>
      <c r="P24" s="284"/>
      <c r="Q24" s="284"/>
      <c r="R24" s="284"/>
      <c r="S24" s="284"/>
      <c r="T24" s="284"/>
      <c r="U24" s="284"/>
      <c r="V24" s="284"/>
      <c r="W24" s="284"/>
      <c r="X24" s="284"/>
      <c r="Y24" s="284"/>
      <c r="Z24" s="284"/>
    </row>
    <row r="25" spans="1:26" ht="16">
      <c r="A25" s="284"/>
      <c r="B25" s="412" t="s">
        <v>281</v>
      </c>
      <c r="C25" s="416" t="s">
        <v>278</v>
      </c>
      <c r="D25" s="419" t="e">
        <f ca="1">iwvc(D7,D8,D17)</f>
        <v>#NAME?</v>
      </c>
      <c r="E25" s="284"/>
      <c r="F25" s="284"/>
      <c r="G25" s="284"/>
      <c r="H25" s="284"/>
      <c r="I25" s="284"/>
      <c r="J25" s="284"/>
      <c r="K25" s="284"/>
      <c r="L25" s="284"/>
      <c r="M25" s="284"/>
      <c r="N25" s="284"/>
      <c r="O25" s="284"/>
      <c r="P25" s="284"/>
      <c r="Q25" s="284"/>
      <c r="R25" s="284"/>
      <c r="S25" s="284"/>
      <c r="T25" s="284"/>
      <c r="U25" s="284"/>
      <c r="V25" s="284"/>
      <c r="W25" s="284"/>
      <c r="X25" s="284"/>
      <c r="Y25" s="284"/>
      <c r="Z25" s="284"/>
    </row>
    <row r="26" spans="1:26" ht="17" thickBot="1">
      <c r="A26" s="284"/>
      <c r="B26" s="414" t="s">
        <v>282</v>
      </c>
      <c r="C26" s="417" t="s">
        <v>283</v>
      </c>
      <c r="D26" s="420" t="e">
        <f ca="1">Temperature(D7,D8)</f>
        <v>#NAME?</v>
      </c>
      <c r="E26" s="284"/>
      <c r="F26" s="284"/>
      <c r="G26" s="284"/>
      <c r="H26" s="284"/>
      <c r="I26" s="284"/>
      <c r="J26" s="284"/>
      <c r="K26" s="284"/>
      <c r="L26" s="284"/>
      <c r="M26" s="284"/>
      <c r="N26" s="284"/>
      <c r="O26" s="284"/>
      <c r="P26" s="284"/>
      <c r="Q26" s="284"/>
      <c r="R26" s="284"/>
      <c r="S26" s="284"/>
      <c r="T26" s="284"/>
      <c r="U26" s="284"/>
      <c r="V26" s="284"/>
      <c r="W26" s="284"/>
      <c r="X26" s="284"/>
      <c r="Y26" s="284"/>
      <c r="Z26" s="284"/>
    </row>
    <row r="27" spans="1:26" ht="18" thickTop="1" thickBot="1">
      <c r="A27" s="284"/>
      <c r="B27" s="284"/>
      <c r="C27" s="284"/>
      <c r="D27" s="284"/>
      <c r="E27" s="284"/>
      <c r="F27" s="284"/>
      <c r="G27" s="284"/>
      <c r="H27" s="284"/>
      <c r="I27" s="284"/>
      <c r="J27" s="284"/>
      <c r="K27" s="284"/>
      <c r="L27" s="284"/>
      <c r="M27" s="284"/>
      <c r="N27" s="284"/>
      <c r="O27" s="284"/>
      <c r="P27" s="284"/>
      <c r="Q27" s="284"/>
      <c r="R27" s="284"/>
      <c r="S27" s="284"/>
      <c r="T27" s="284"/>
      <c r="U27" s="284"/>
      <c r="V27" s="284"/>
      <c r="W27" s="284"/>
      <c r="X27" s="284"/>
      <c r="Y27" s="284"/>
      <c r="Z27" s="284"/>
    </row>
    <row r="28" spans="1:26" ht="18" thickTop="1" thickBot="1">
      <c r="A28" s="284"/>
      <c r="B28" s="1034" t="s">
        <v>284</v>
      </c>
      <c r="C28" s="1035"/>
      <c r="D28" s="1037"/>
      <c r="E28" s="284"/>
      <c r="F28" s="284"/>
      <c r="G28" s="284"/>
      <c r="H28" s="284"/>
      <c r="I28" s="284"/>
      <c r="J28" s="284"/>
      <c r="K28" s="284"/>
      <c r="L28" s="284"/>
      <c r="M28" s="284"/>
      <c r="N28" s="284"/>
      <c r="O28" s="284"/>
      <c r="P28" s="284"/>
      <c r="Q28" s="284"/>
      <c r="R28" s="284"/>
      <c r="S28" s="284"/>
      <c r="T28" s="284"/>
      <c r="U28" s="284"/>
      <c r="V28" s="284"/>
      <c r="W28" s="284"/>
      <c r="X28" s="284"/>
      <c r="Y28" s="284"/>
      <c r="Z28" s="284"/>
    </row>
    <row r="29" spans="1:26" ht="17" thickTop="1">
      <c r="A29" s="284"/>
      <c r="B29" s="412" t="s">
        <v>403</v>
      </c>
      <c r="C29" s="416" t="s">
        <v>178</v>
      </c>
      <c r="D29" s="419" t="e">
        <f ca="1">Agaz(D15,D10*PI()/180,D26,D24)</f>
        <v>#NAME?</v>
      </c>
      <c r="E29" s="284"/>
      <c r="F29" s="284"/>
      <c r="G29" s="284"/>
      <c r="H29" s="284"/>
      <c r="I29" s="284"/>
      <c r="J29" s="284"/>
      <c r="K29" s="284"/>
      <c r="L29" s="284"/>
      <c r="M29" s="284"/>
      <c r="N29" s="284"/>
      <c r="O29" s="284"/>
      <c r="P29" s="284"/>
      <c r="Q29" s="284"/>
      <c r="R29" s="284"/>
      <c r="S29" s="284"/>
      <c r="T29" s="284"/>
      <c r="U29" s="284"/>
      <c r="V29" s="284"/>
      <c r="W29" s="284"/>
      <c r="X29" s="284"/>
      <c r="Y29" s="284"/>
      <c r="Z29" s="284"/>
    </row>
    <row r="30" spans="1:26" ht="16">
      <c r="A30" s="284"/>
      <c r="B30" s="412" t="s">
        <v>404</v>
      </c>
      <c r="C30" s="416" t="s">
        <v>178</v>
      </c>
      <c r="D30" s="419" t="e">
        <f ca="1">agaz_exceeded(D15,D10*PI()/180,D26,D25,D24)</f>
        <v>#NAME?</v>
      </c>
      <c r="E30" s="284"/>
      <c r="F30" s="632" t="e">
        <f ca="1">D29+D30</f>
        <v>#NAME?</v>
      </c>
      <c r="G30" s="323" t="s">
        <v>313</v>
      </c>
      <c r="H30" s="284"/>
      <c r="I30" s="284"/>
      <c r="J30" s="284"/>
      <c r="K30" s="284"/>
      <c r="L30" s="284"/>
      <c r="M30" s="284"/>
      <c r="N30" s="284"/>
      <c r="O30" s="284"/>
      <c r="P30" s="284"/>
      <c r="Q30" s="284"/>
      <c r="R30" s="284"/>
      <c r="S30" s="284"/>
      <c r="T30" s="284"/>
      <c r="U30" s="284"/>
      <c r="V30" s="284"/>
      <c r="W30" s="284"/>
      <c r="X30" s="284"/>
      <c r="Y30" s="284"/>
      <c r="Z30" s="284"/>
    </row>
    <row r="31" spans="1:26" ht="16">
      <c r="A31" s="284"/>
      <c r="B31" s="412" t="s">
        <v>285</v>
      </c>
      <c r="C31" s="416" t="s">
        <v>178</v>
      </c>
      <c r="D31" s="419" t="e">
        <f ca="1">Arain(D7,D15,D10*PI()/180,D17,D9,D22,D20,D16)</f>
        <v>#NAME?</v>
      </c>
      <c r="E31" s="284"/>
      <c r="F31" s="284"/>
      <c r="G31" s="284"/>
      <c r="H31" s="284"/>
      <c r="I31" s="284"/>
      <c r="J31" s="284"/>
      <c r="K31" s="284"/>
      <c r="L31" s="284"/>
      <c r="M31" s="284"/>
      <c r="N31" s="284"/>
      <c r="O31" s="284"/>
      <c r="P31" s="284"/>
      <c r="Q31" s="284"/>
      <c r="R31" s="284"/>
      <c r="S31" s="284"/>
      <c r="T31" s="284"/>
      <c r="U31" s="284"/>
      <c r="V31" s="284"/>
      <c r="W31" s="284"/>
      <c r="X31" s="284"/>
      <c r="Y31" s="284"/>
      <c r="Z31" s="284"/>
    </row>
    <row r="32" spans="1:26" ht="16">
      <c r="A32" s="284"/>
      <c r="B32" s="412" t="s">
        <v>286</v>
      </c>
      <c r="C32" s="416" t="s">
        <v>178</v>
      </c>
      <c r="D32" s="419" t="e">
        <f ca="1">Acloud(D15,D10*PI()/180,D23)</f>
        <v>#NAME?</v>
      </c>
      <c r="E32" s="284"/>
      <c r="F32" s="284"/>
      <c r="G32" s="284"/>
      <c r="H32" s="284"/>
      <c r="I32" s="284"/>
      <c r="J32" s="284"/>
      <c r="K32" s="284"/>
      <c r="L32" s="284"/>
      <c r="M32" s="284"/>
      <c r="N32" s="284"/>
      <c r="O32" s="284"/>
      <c r="P32" s="284"/>
      <c r="Q32" s="284"/>
      <c r="R32" s="284"/>
      <c r="S32" s="284"/>
      <c r="T32" s="284"/>
      <c r="U32" s="284"/>
      <c r="V32" s="284"/>
      <c r="W32" s="284"/>
      <c r="X32" s="284"/>
      <c r="Y32" s="284"/>
      <c r="Z32" s="284"/>
    </row>
    <row r="33" spans="1:26" ht="17" thickBot="1">
      <c r="A33" s="284"/>
      <c r="B33" s="412" t="s">
        <v>287</v>
      </c>
      <c r="C33" s="416" t="s">
        <v>178</v>
      </c>
      <c r="D33" s="419" t="e">
        <f ca="1">Iscint(D21,D15,D10*PI()/180,D17,D9,D13/100,D12)</f>
        <v>#NAME?</v>
      </c>
      <c r="E33" s="284"/>
      <c r="F33" s="284"/>
      <c r="G33" s="284"/>
      <c r="H33" s="284"/>
      <c r="I33" s="284"/>
      <c r="J33" s="284"/>
      <c r="K33" s="284"/>
      <c r="L33" s="284"/>
      <c r="M33" s="284"/>
      <c r="N33" s="284"/>
      <c r="O33" s="284"/>
      <c r="P33" s="284"/>
      <c r="Q33" s="284"/>
      <c r="R33" s="284"/>
      <c r="S33" s="284"/>
      <c r="T33" s="284"/>
      <c r="U33" s="284"/>
      <c r="V33" s="284"/>
      <c r="W33" s="284"/>
      <c r="X33" s="284"/>
      <c r="Y33" s="284"/>
      <c r="Z33" s="284"/>
    </row>
    <row r="34" spans="1:26" ht="17" thickBot="1">
      <c r="A34" s="284"/>
      <c r="B34" s="421" t="s">
        <v>288</v>
      </c>
      <c r="C34" s="422" t="s">
        <v>178</v>
      </c>
      <c r="D34" s="423" t="e">
        <f ca="1">D29+SQRT((D31+D32)^2+D33^2)</f>
        <v>#NAME?</v>
      </c>
      <c r="E34" s="311" t="s">
        <v>289</v>
      </c>
      <c r="F34" s="284"/>
      <c r="G34" s="324" t="s">
        <v>455</v>
      </c>
      <c r="H34" s="324"/>
      <c r="I34" s="284"/>
      <c r="J34" s="284"/>
      <c r="K34" s="284"/>
      <c r="L34" s="284" t="s">
        <v>3</v>
      </c>
      <c r="M34" s="284"/>
      <c r="N34" s="284"/>
      <c r="O34" s="284"/>
      <c r="P34" s="284"/>
      <c r="Q34" s="284"/>
      <c r="R34" s="284"/>
      <c r="S34" s="284"/>
      <c r="T34" s="284"/>
      <c r="U34" s="284"/>
      <c r="V34" s="284"/>
      <c r="W34" s="284"/>
      <c r="X34" s="284"/>
      <c r="Y34" s="284"/>
      <c r="Z34" s="284"/>
    </row>
    <row r="35" spans="1:26" ht="17" thickBot="1">
      <c r="A35" s="284"/>
      <c r="B35" s="284"/>
      <c r="C35" s="284"/>
      <c r="D35" s="423" t="e">
        <f ca="1">D30+SQRT((D31+D32)^2+D33^2)</f>
        <v>#NAME?</v>
      </c>
      <c r="E35" s="311" t="s">
        <v>290</v>
      </c>
      <c r="F35" s="284"/>
      <c r="G35" s="441" t="e">
        <f ca="1">D30+D33</f>
        <v>#NAME?</v>
      </c>
      <c r="H35" s="440" t="s">
        <v>31</v>
      </c>
      <c r="I35" s="284"/>
      <c r="J35" s="284"/>
      <c r="K35" s="284"/>
      <c r="L35" s="284"/>
      <c r="M35" s="284"/>
      <c r="N35" s="284"/>
      <c r="O35" s="284"/>
      <c r="P35" s="284"/>
      <c r="Q35" s="284"/>
      <c r="R35" s="284"/>
      <c r="S35" s="284"/>
      <c r="T35" s="284"/>
      <c r="U35" s="284"/>
      <c r="V35" s="284"/>
      <c r="W35" s="284"/>
      <c r="X35" s="284"/>
      <c r="Y35" s="284"/>
      <c r="Z35" s="284"/>
    </row>
    <row r="36" spans="1:26" ht="16">
      <c r="A36" s="284"/>
      <c r="B36" s="284"/>
      <c r="C36" s="284"/>
      <c r="D36" s="284"/>
      <c r="E36" s="284"/>
      <c r="F36" s="284"/>
      <c r="G36" s="284"/>
      <c r="H36" s="284"/>
      <c r="I36" s="284"/>
      <c r="J36" s="284"/>
      <c r="K36" s="284"/>
      <c r="L36" s="284"/>
      <c r="M36" s="284"/>
      <c r="N36" s="284"/>
      <c r="O36" s="284"/>
      <c r="P36" s="284"/>
      <c r="Q36" s="284"/>
      <c r="R36" s="284"/>
      <c r="S36" s="284"/>
      <c r="T36" s="284"/>
      <c r="U36" s="284"/>
      <c r="V36" s="284"/>
      <c r="W36" s="284"/>
      <c r="X36" s="284"/>
      <c r="Y36" s="284"/>
      <c r="Z36" s="284"/>
    </row>
    <row r="37" spans="1:26" ht="16">
      <c r="A37" s="284"/>
      <c r="B37" s="284"/>
      <c r="C37" s="284"/>
      <c r="D37" s="284"/>
      <c r="E37" s="284"/>
      <c r="F37" s="284"/>
      <c r="G37" s="284"/>
      <c r="H37" s="284"/>
      <c r="I37" s="284"/>
      <c r="J37" s="284"/>
      <c r="K37" s="284"/>
      <c r="L37" s="284"/>
      <c r="M37" s="284"/>
      <c r="N37" s="284"/>
      <c r="O37" s="284"/>
      <c r="P37" s="284"/>
      <c r="Q37" s="284"/>
      <c r="R37" s="284"/>
      <c r="S37" s="284"/>
      <c r="T37" s="284"/>
      <c r="U37" s="284"/>
      <c r="V37" s="284"/>
      <c r="W37" s="284"/>
      <c r="X37" s="284"/>
      <c r="Y37" s="284"/>
      <c r="Z37" s="284"/>
    </row>
    <row r="38" spans="1:26" ht="16">
      <c r="A38" s="284"/>
      <c r="B38" s="308" t="s">
        <v>300</v>
      </c>
      <c r="C38" s="309" t="e">
        <f ca="1">D26*(1-(2.718^(-D35/4.34)))</f>
        <v>#NAME?</v>
      </c>
      <c r="D38" s="310" t="s">
        <v>50</v>
      </c>
      <c r="E38" s="284"/>
      <c r="F38" s="284"/>
      <c r="G38" s="284"/>
      <c r="H38" s="284"/>
      <c r="I38" s="284"/>
      <c r="J38" s="284"/>
      <c r="K38" s="284"/>
      <c r="L38" s="284"/>
      <c r="M38" s="284"/>
      <c r="N38" s="284"/>
      <c r="O38" s="284"/>
      <c r="P38" s="284"/>
      <c r="Q38" s="284"/>
      <c r="R38" s="284"/>
      <c r="S38" s="284"/>
      <c r="T38" s="284"/>
      <c r="U38" s="284"/>
      <c r="V38" s="284"/>
      <c r="W38" s="284"/>
      <c r="X38" s="284"/>
      <c r="Y38" s="284"/>
      <c r="Z38" s="284"/>
    </row>
    <row r="39" spans="1:26" ht="16">
      <c r="A39" s="284"/>
      <c r="B39" s="284"/>
      <c r="C39" s="284"/>
      <c r="D39" s="284"/>
      <c r="E39" s="284"/>
      <c r="F39" s="284"/>
      <c r="G39" s="284"/>
      <c r="H39" s="284"/>
      <c r="I39" s="284"/>
      <c r="J39" s="284"/>
      <c r="K39" s="284"/>
      <c r="L39" s="284"/>
      <c r="M39" s="284"/>
      <c r="N39" s="284"/>
      <c r="O39" s="284"/>
      <c r="P39" s="284"/>
      <c r="Q39" s="284"/>
      <c r="R39" s="284"/>
      <c r="S39" s="284"/>
      <c r="T39" s="284"/>
      <c r="U39" s="284"/>
      <c r="V39" s="284"/>
      <c r="W39" s="284"/>
      <c r="X39" s="284"/>
      <c r="Y39" s="284"/>
      <c r="Z39" s="284"/>
    </row>
    <row r="40" spans="1:26" ht="16">
      <c r="A40" s="284"/>
      <c r="B40" s="284"/>
      <c r="C40" s="284"/>
      <c r="D40" s="284"/>
      <c r="E40" s="284"/>
      <c r="F40" s="284"/>
      <c r="G40" s="284"/>
      <c r="H40" s="284"/>
      <c r="I40" s="284"/>
      <c r="J40" s="284"/>
      <c r="K40" s="284"/>
      <c r="L40" s="284"/>
      <c r="M40" s="284"/>
      <c r="N40" s="284"/>
      <c r="O40" s="284"/>
      <c r="P40" s="284"/>
      <c r="Q40" s="284"/>
      <c r="R40" s="284"/>
      <c r="S40" s="284"/>
      <c r="T40" s="284"/>
      <c r="U40" s="284"/>
      <c r="V40" s="284"/>
      <c r="W40" s="284"/>
      <c r="X40" s="284"/>
      <c r="Y40" s="284"/>
      <c r="Z40" s="284"/>
    </row>
    <row r="41" spans="1:26" ht="16">
      <c r="A41" s="284"/>
      <c r="B41" s="284"/>
      <c r="C41" s="284"/>
      <c r="D41" s="284"/>
      <c r="E41" s="284"/>
      <c r="F41" s="284"/>
      <c r="G41" s="284"/>
      <c r="H41" s="284"/>
      <c r="I41" s="284"/>
      <c r="J41" s="284"/>
      <c r="K41" s="284"/>
      <c r="L41" s="284"/>
      <c r="M41" s="284"/>
      <c r="N41" s="284"/>
      <c r="O41" s="284"/>
      <c r="P41" s="284"/>
      <c r="Q41" s="284"/>
      <c r="R41" s="284"/>
      <c r="S41" s="284"/>
      <c r="T41" s="284"/>
      <c r="U41" s="284"/>
      <c r="V41" s="284"/>
      <c r="W41" s="284"/>
      <c r="X41" s="284"/>
      <c r="Y41" s="284"/>
      <c r="Z41" s="284"/>
    </row>
    <row r="42" spans="1:26" ht="16">
      <c r="A42" s="284"/>
      <c r="B42" s="284"/>
      <c r="C42" s="284"/>
      <c r="D42" s="284"/>
      <c r="E42" s="284"/>
      <c r="F42" s="284"/>
      <c r="G42" s="284"/>
      <c r="H42" s="284"/>
      <c r="I42" s="284"/>
      <c r="J42" s="284"/>
      <c r="K42" s="284"/>
      <c r="L42" s="284"/>
      <c r="M42" s="284"/>
      <c r="N42" s="284"/>
      <c r="O42" s="284"/>
      <c r="P42" s="284"/>
      <c r="Q42" s="284"/>
      <c r="R42" s="284"/>
      <c r="S42" s="284"/>
      <c r="T42" s="284"/>
      <c r="U42" s="284"/>
      <c r="V42" s="284"/>
      <c r="W42" s="284"/>
      <c r="X42" s="284"/>
      <c r="Y42" s="284"/>
      <c r="Z42" s="284"/>
    </row>
    <row r="43" spans="1:26" ht="16">
      <c r="A43" s="284"/>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row>
    <row r="44" spans="1:26" ht="16">
      <c r="A44" s="284"/>
      <c r="B44" s="284"/>
      <c r="C44" s="284"/>
      <c r="D44" s="284"/>
      <c r="E44" s="284"/>
      <c r="F44" s="284"/>
      <c r="G44" s="284"/>
      <c r="H44" s="284"/>
      <c r="I44" s="284"/>
      <c r="J44" s="284"/>
      <c r="K44" s="284"/>
      <c r="L44" s="284"/>
      <c r="M44" s="284"/>
      <c r="N44" s="284"/>
      <c r="O44" s="284"/>
      <c r="P44" s="284"/>
      <c r="Q44" s="284"/>
      <c r="R44" s="284"/>
      <c r="S44" s="284"/>
      <c r="T44" s="284"/>
      <c r="U44" s="284"/>
      <c r="V44" s="284"/>
      <c r="W44" s="284"/>
      <c r="X44" s="284"/>
      <c r="Y44" s="284"/>
      <c r="Z44" s="284"/>
    </row>
    <row r="45" spans="1:26" ht="16">
      <c r="A45" s="284"/>
      <c r="B45" s="284"/>
      <c r="C45" s="284"/>
      <c r="D45" s="284"/>
      <c r="E45" s="284"/>
      <c r="F45" s="284"/>
      <c r="G45" s="284"/>
      <c r="H45" s="284"/>
      <c r="I45" s="284"/>
      <c r="J45" s="284"/>
      <c r="K45" s="284"/>
      <c r="L45" s="284"/>
      <c r="M45" s="284"/>
      <c r="N45" s="284"/>
      <c r="O45" s="284"/>
      <c r="P45" s="284"/>
      <c r="Q45" s="284"/>
      <c r="R45" s="284"/>
      <c r="S45" s="284"/>
      <c r="T45" s="284"/>
      <c r="U45" s="284"/>
      <c r="V45" s="284"/>
      <c r="W45" s="284"/>
      <c r="X45" s="284"/>
      <c r="Y45" s="284"/>
      <c r="Z45" s="284"/>
    </row>
    <row r="46" spans="1:26" ht="16">
      <c r="A46" s="284"/>
      <c r="B46" s="284"/>
      <c r="C46" s="284"/>
      <c r="D46" s="284"/>
      <c r="E46" s="284"/>
      <c r="F46" s="284"/>
      <c r="G46" s="284"/>
      <c r="H46" s="284"/>
      <c r="I46" s="284"/>
      <c r="J46" s="284"/>
      <c r="K46" s="284"/>
      <c r="L46" s="284"/>
      <c r="M46" s="284"/>
      <c r="N46" s="284"/>
      <c r="O46" s="284"/>
      <c r="P46" s="284"/>
      <c r="Q46" s="284"/>
      <c r="R46" s="284"/>
      <c r="S46" s="284"/>
      <c r="T46" s="284"/>
      <c r="U46" s="284"/>
      <c r="V46" s="284"/>
      <c r="W46" s="284"/>
      <c r="X46" s="284"/>
      <c r="Y46" s="284"/>
      <c r="Z46" s="284"/>
    </row>
    <row r="47" spans="1:26" ht="16">
      <c r="A47" s="284"/>
      <c r="B47" s="284"/>
      <c r="C47" s="284"/>
      <c r="D47" s="284"/>
      <c r="E47" s="284"/>
      <c r="F47" s="284"/>
      <c r="G47" s="284"/>
      <c r="H47" s="284"/>
      <c r="I47" s="284"/>
      <c r="J47" s="284"/>
      <c r="K47" s="284"/>
      <c r="L47" s="284"/>
      <c r="M47" s="284"/>
      <c r="N47" s="284"/>
      <c r="O47" s="284"/>
      <c r="P47" s="284"/>
      <c r="Q47" s="284"/>
      <c r="R47" s="284"/>
      <c r="S47" s="284"/>
      <c r="T47" s="284"/>
      <c r="U47" s="284"/>
      <c r="V47" s="284"/>
      <c r="W47" s="284"/>
      <c r="X47" s="284"/>
      <c r="Y47" s="284"/>
      <c r="Z47" s="284"/>
    </row>
    <row r="48" spans="1:26" ht="16">
      <c r="A48" s="284"/>
      <c r="B48" s="284"/>
      <c r="C48" s="284"/>
      <c r="D48" s="284"/>
      <c r="E48" s="284"/>
      <c r="F48" s="284"/>
      <c r="G48" s="284"/>
      <c r="H48" s="284"/>
      <c r="I48" s="284"/>
      <c r="J48" s="284"/>
      <c r="K48" s="284"/>
      <c r="L48" s="284"/>
      <c r="M48" s="284"/>
      <c r="N48" s="284"/>
      <c r="O48" s="284"/>
      <c r="P48" s="284"/>
      <c r="Q48" s="284"/>
      <c r="R48" s="284"/>
      <c r="S48" s="284"/>
      <c r="T48" s="284"/>
      <c r="U48" s="284"/>
      <c r="V48" s="284"/>
      <c r="W48" s="284"/>
      <c r="X48" s="284"/>
      <c r="Y48" s="284"/>
      <c r="Z48" s="284"/>
    </row>
    <row r="49" spans="1:26" ht="16">
      <c r="A49" s="284"/>
      <c r="B49" s="284"/>
      <c r="C49" s="284"/>
      <c r="D49" s="284"/>
      <c r="E49" s="284"/>
      <c r="F49" s="284"/>
      <c r="G49" s="284"/>
      <c r="H49" s="284"/>
      <c r="I49" s="284"/>
      <c r="J49" s="284"/>
      <c r="K49" s="284"/>
      <c r="L49" s="284"/>
      <c r="M49" s="284"/>
      <c r="N49" s="284"/>
      <c r="O49" s="284"/>
      <c r="P49" s="284"/>
      <c r="Q49" s="284"/>
      <c r="R49" s="284"/>
      <c r="S49" s="284"/>
      <c r="T49" s="284"/>
      <c r="U49" s="284"/>
      <c r="V49" s="284"/>
      <c r="W49" s="284"/>
      <c r="X49" s="284"/>
      <c r="Y49" s="284"/>
      <c r="Z49" s="284"/>
    </row>
    <row r="50" spans="1:26" ht="16">
      <c r="A50" s="284"/>
      <c r="B50" s="284"/>
      <c r="C50" s="284"/>
      <c r="D50" s="284"/>
      <c r="E50" s="284"/>
      <c r="F50" s="284"/>
      <c r="G50" s="284"/>
      <c r="H50" s="284"/>
      <c r="I50" s="284"/>
      <c r="J50" s="284"/>
      <c r="K50" s="284"/>
      <c r="L50" s="284"/>
      <c r="M50" s="284"/>
      <c r="N50" s="284"/>
      <c r="O50" s="284"/>
      <c r="P50" s="284"/>
      <c r="Q50" s="284"/>
      <c r="R50" s="284"/>
      <c r="S50" s="284"/>
      <c r="T50" s="284"/>
      <c r="U50" s="284"/>
      <c r="V50" s="284"/>
      <c r="W50" s="284"/>
      <c r="X50" s="284"/>
      <c r="Y50" s="284"/>
      <c r="Z50" s="284"/>
    </row>
  </sheetData>
  <mergeCells count="7">
    <mergeCell ref="B14:D14"/>
    <mergeCell ref="B19:D19"/>
    <mergeCell ref="B28:D28"/>
    <mergeCell ref="B3:D3"/>
    <mergeCell ref="B4:C4"/>
    <mergeCell ref="B6:D6"/>
    <mergeCell ref="B11:D11"/>
  </mergeCells>
  <phoneticPr fontId="66"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9" tint="0.59999389629810485"/>
  </sheetPr>
  <dimension ref="A1:AB50"/>
  <sheetViews>
    <sheetView zoomScale="90" zoomScaleNormal="90" workbookViewId="0"/>
  </sheetViews>
  <sheetFormatPr baseColWidth="10" defaultColWidth="8.83203125" defaultRowHeight="13"/>
  <cols>
    <col min="2" max="2" width="39.33203125" customWidth="1"/>
    <col min="3" max="3" width="27.33203125" customWidth="1"/>
    <col min="4" max="4" width="21.33203125" customWidth="1"/>
    <col min="6" max="6" width="12.1640625" customWidth="1"/>
  </cols>
  <sheetData>
    <row r="1" spans="1:28" ht="21" thickBot="1">
      <c r="A1" s="653" t="s">
        <v>653</v>
      </c>
      <c r="B1" s="604" t="s">
        <v>654</v>
      </c>
      <c r="C1" s="424"/>
      <c r="D1" s="424"/>
      <c r="E1" s="424"/>
      <c r="F1" s="424"/>
      <c r="G1" s="424"/>
      <c r="H1" s="424"/>
      <c r="I1" s="424"/>
      <c r="J1" s="424"/>
      <c r="K1" s="424"/>
      <c r="L1" s="424"/>
      <c r="M1" s="424"/>
      <c r="N1" s="424"/>
      <c r="O1" s="424"/>
      <c r="P1" s="424"/>
      <c r="Q1" s="424"/>
      <c r="R1" s="424"/>
      <c r="S1" s="424"/>
      <c r="T1" s="424"/>
      <c r="U1" s="424"/>
      <c r="V1" s="424"/>
      <c r="W1" s="424"/>
      <c r="X1" s="424"/>
      <c r="Y1" s="424"/>
      <c r="Z1" s="424"/>
      <c r="AA1" s="424"/>
    </row>
    <row r="2" spans="1:28" ht="17" thickBot="1">
      <c r="A2" s="284"/>
      <c r="B2" s="284"/>
      <c r="C2" s="284"/>
      <c r="D2" s="284"/>
      <c r="E2" s="284"/>
      <c r="F2" s="284"/>
      <c r="G2" s="284"/>
      <c r="H2" s="284"/>
      <c r="I2" s="284"/>
      <c r="J2" s="284"/>
      <c r="K2" s="284"/>
      <c r="L2" s="284"/>
      <c r="M2" s="284"/>
      <c r="N2" s="284"/>
      <c r="O2" s="284"/>
      <c r="P2" s="284"/>
      <c r="Q2" s="284"/>
      <c r="R2" s="284"/>
      <c r="S2" s="284"/>
      <c r="T2" s="284"/>
      <c r="U2" s="284"/>
      <c r="V2" s="284"/>
      <c r="W2" s="284"/>
      <c r="X2" s="284"/>
      <c r="Y2" s="284"/>
      <c r="Z2" s="284"/>
      <c r="AA2" s="284"/>
    </row>
    <row r="3" spans="1:28" ht="17" thickTop="1">
      <c r="A3" s="284"/>
      <c r="B3" s="1038" t="s">
        <v>253</v>
      </c>
      <c r="C3" s="1039"/>
      <c r="D3" s="1036"/>
      <c r="E3" s="284"/>
      <c r="F3" s="284"/>
      <c r="G3" s="284"/>
      <c r="H3" s="284"/>
      <c r="I3" s="284"/>
      <c r="J3" s="284"/>
      <c r="K3" s="284"/>
      <c r="L3" s="284"/>
      <c r="M3" s="284"/>
      <c r="N3" s="284"/>
      <c r="O3" s="284"/>
      <c r="P3" s="284"/>
      <c r="Q3" s="284"/>
      <c r="R3" s="284"/>
      <c r="S3" s="284"/>
      <c r="T3" s="284"/>
      <c r="U3" s="284"/>
      <c r="V3" s="284"/>
      <c r="W3" s="284"/>
      <c r="X3" s="284"/>
      <c r="Y3" s="284"/>
      <c r="Z3" s="284"/>
      <c r="AA3" s="284"/>
    </row>
    <row r="4" spans="1:28" ht="17" thickBot="1">
      <c r="A4" s="284"/>
      <c r="B4" s="1040" t="s">
        <v>212</v>
      </c>
      <c r="C4" s="1041"/>
      <c r="D4" s="409">
        <f>version()</f>
        <v>20060213</v>
      </c>
      <c r="E4" s="284"/>
      <c r="F4" s="284"/>
      <c r="G4" s="284"/>
      <c r="H4" s="284"/>
      <c r="I4" s="284"/>
      <c r="J4" s="284"/>
      <c r="K4" s="284"/>
      <c r="L4" s="284"/>
      <c r="M4" s="284"/>
      <c r="N4" s="284"/>
      <c r="O4" s="284"/>
      <c r="P4" s="284"/>
      <c r="Q4" s="284"/>
      <c r="R4" s="284"/>
      <c r="S4" s="284"/>
      <c r="T4" s="284"/>
      <c r="U4" s="284"/>
      <c r="V4" s="284"/>
      <c r="W4" s="284"/>
      <c r="X4" s="284"/>
      <c r="Y4" s="284"/>
      <c r="Z4" s="284"/>
      <c r="AA4" s="284"/>
    </row>
    <row r="5" spans="1:28" ht="18" thickTop="1" thickBot="1">
      <c r="A5" s="284"/>
      <c r="B5" s="284"/>
      <c r="C5" s="284"/>
      <c r="D5" s="284"/>
      <c r="E5" s="284"/>
      <c r="F5" s="284"/>
      <c r="G5" s="284"/>
      <c r="H5" s="284"/>
      <c r="I5" s="284"/>
      <c r="J5" s="284"/>
      <c r="K5" s="284"/>
      <c r="L5" s="284"/>
      <c r="M5" s="284"/>
      <c r="N5" s="284"/>
      <c r="O5" s="284"/>
      <c r="P5" s="284"/>
      <c r="Q5" s="284"/>
      <c r="R5" s="284"/>
      <c r="S5" s="284"/>
      <c r="T5" s="284"/>
      <c r="U5" s="284"/>
      <c r="V5" s="284"/>
      <c r="W5" s="284"/>
      <c r="X5" s="284"/>
      <c r="Y5" s="284"/>
      <c r="Z5" s="284"/>
      <c r="AA5" s="284"/>
    </row>
    <row r="6" spans="1:28" ht="18" thickTop="1" thickBot="1">
      <c r="A6" s="284"/>
      <c r="B6" s="1034" t="s">
        <v>254</v>
      </c>
      <c r="C6" s="1035"/>
      <c r="D6" s="1036"/>
      <c r="E6" s="284"/>
      <c r="F6" s="284"/>
      <c r="G6" s="284"/>
      <c r="H6" s="284"/>
      <c r="I6" s="284"/>
      <c r="J6" s="284"/>
      <c r="K6" s="284"/>
      <c r="L6" s="284"/>
      <c r="M6" s="284"/>
      <c r="N6" s="284"/>
      <c r="O6" s="284"/>
      <c r="P6" s="284"/>
      <c r="Q6" s="284"/>
      <c r="R6" s="284"/>
      <c r="S6" s="284"/>
      <c r="T6" s="284"/>
      <c r="U6" s="284"/>
      <c r="V6" s="284"/>
      <c r="W6" s="284"/>
      <c r="X6" s="284"/>
      <c r="Y6" s="284"/>
      <c r="Z6" s="284"/>
      <c r="AA6" s="284"/>
    </row>
    <row r="7" spans="1:28" ht="17" thickTop="1">
      <c r="A7" s="284"/>
      <c r="B7" s="410" t="s">
        <v>255</v>
      </c>
      <c r="C7" s="411" t="s">
        <v>256</v>
      </c>
      <c r="D7" s="632">
        <f>'3-Link Scenario Planner'!$E$17</f>
        <v>38.380000000000003</v>
      </c>
      <c r="E7" s="284"/>
      <c r="F7" s="284"/>
      <c r="G7" s="284"/>
      <c r="H7" s="284"/>
      <c r="I7" s="284"/>
      <c r="J7" s="284"/>
      <c r="K7" s="284"/>
      <c r="L7" s="284"/>
      <c r="M7" s="284"/>
      <c r="N7" s="284"/>
      <c r="O7" s="284"/>
      <c r="P7" s="284"/>
      <c r="Q7" s="284"/>
      <c r="R7" s="284"/>
      <c r="S7" s="284"/>
      <c r="T7" s="284"/>
      <c r="U7" s="284"/>
      <c r="V7" s="284"/>
      <c r="W7" s="284"/>
      <c r="X7" s="284"/>
      <c r="Y7" s="284"/>
      <c r="Z7" s="284"/>
      <c r="AA7" s="284"/>
    </row>
    <row r="8" spans="1:28" ht="16">
      <c r="A8" s="284"/>
      <c r="B8" s="412" t="s">
        <v>257</v>
      </c>
      <c r="C8" s="413" t="s">
        <v>256</v>
      </c>
      <c r="D8" s="632">
        <f>'3-Link Scenario Planner'!$E$19</f>
        <v>-103.16</v>
      </c>
      <c r="E8" s="284"/>
      <c r="F8" s="284"/>
      <c r="G8" s="284"/>
      <c r="H8" s="284"/>
      <c r="I8" s="284"/>
      <c r="J8" s="284"/>
      <c r="K8" s="284"/>
      <c r="L8" s="284"/>
      <c r="M8" s="284"/>
      <c r="N8" s="284"/>
      <c r="O8" s="284"/>
      <c r="P8" s="284"/>
      <c r="Q8" s="284"/>
      <c r="R8" s="284"/>
      <c r="S8" s="284"/>
      <c r="T8" s="284"/>
      <c r="U8" s="284"/>
      <c r="V8" s="284"/>
      <c r="W8" s="284"/>
      <c r="X8" s="284"/>
      <c r="Y8" s="284"/>
      <c r="Z8" s="284"/>
      <c r="AA8" s="284"/>
    </row>
    <row r="9" spans="1:28" ht="16">
      <c r="A9" s="284"/>
      <c r="B9" s="412" t="s">
        <v>258</v>
      </c>
      <c r="C9" s="413" t="s">
        <v>259</v>
      </c>
      <c r="D9" s="631">
        <f>'4B-Earth Stations'!G26</f>
        <v>1.385</v>
      </c>
      <c r="E9" s="284"/>
      <c r="F9" s="284"/>
      <c r="G9" s="284"/>
      <c r="H9" s="284"/>
      <c r="I9" s="284"/>
      <c r="J9" s="284"/>
      <c r="K9" s="284"/>
      <c r="L9" s="284"/>
      <c r="M9" s="284"/>
      <c r="N9" s="284"/>
      <c r="O9" s="284"/>
      <c r="P9" s="284"/>
      <c r="Q9" s="284"/>
      <c r="R9" s="284"/>
      <c r="S9" s="284"/>
      <c r="T9" s="284"/>
      <c r="U9" s="284"/>
      <c r="V9" s="284"/>
      <c r="W9" s="284"/>
      <c r="X9" s="284"/>
      <c r="Y9" s="284"/>
      <c r="Z9" s="284"/>
      <c r="AA9" s="284"/>
    </row>
    <row r="10" spans="1:28" ht="17" thickBot="1">
      <c r="A10" s="284"/>
      <c r="B10" s="414" t="s">
        <v>260</v>
      </c>
      <c r="C10" s="415" t="s">
        <v>256</v>
      </c>
      <c r="D10" s="633">
        <f>'4A-Orbit'!G26</f>
        <v>20</v>
      </c>
      <c r="E10" s="284"/>
      <c r="F10" s="284"/>
      <c r="G10" s="284"/>
      <c r="H10" s="284"/>
      <c r="I10" s="284"/>
      <c r="J10" s="284"/>
      <c r="K10" s="284"/>
      <c r="L10" s="284"/>
      <c r="M10" s="284"/>
      <c r="N10" s="284"/>
      <c r="O10" s="284"/>
      <c r="P10" s="284"/>
      <c r="Q10" s="284"/>
      <c r="R10" s="284"/>
      <c r="S10" s="284"/>
      <c r="T10" s="284"/>
      <c r="U10" s="284"/>
      <c r="V10" s="284"/>
      <c r="W10" s="284"/>
      <c r="X10" s="284"/>
      <c r="Y10" s="284"/>
      <c r="Z10" s="284"/>
      <c r="AA10" s="284"/>
      <c r="AB10" t="s">
        <v>3</v>
      </c>
    </row>
    <row r="11" spans="1:28" ht="18" thickTop="1" thickBot="1">
      <c r="A11" s="284"/>
      <c r="B11" s="1042" t="s">
        <v>261</v>
      </c>
      <c r="C11" s="1043"/>
      <c r="D11" s="1044"/>
      <c r="E11" s="284"/>
      <c r="F11" s="284"/>
      <c r="G11" s="284"/>
      <c r="H11" s="284"/>
      <c r="I11" s="284"/>
      <c r="J11" s="284"/>
      <c r="K11" s="284"/>
      <c r="L11" s="284"/>
      <c r="M11" s="284"/>
      <c r="N11" s="284"/>
      <c r="O11" s="284"/>
      <c r="P11" s="284"/>
      <c r="Q11" s="284"/>
      <c r="R11" s="284"/>
      <c r="S11" s="284"/>
      <c r="T11" s="284"/>
      <c r="U11" s="284"/>
      <c r="V11" s="284"/>
      <c r="W11" s="284"/>
      <c r="X11" s="284"/>
      <c r="Y11" s="284"/>
      <c r="Z11" s="284"/>
      <c r="AA11" s="284"/>
    </row>
    <row r="12" spans="1:28" ht="17" thickTop="1">
      <c r="A12" s="284"/>
      <c r="B12" s="412" t="s">
        <v>303</v>
      </c>
      <c r="C12" s="416" t="s">
        <v>262</v>
      </c>
      <c r="D12" s="634">
        <f>IF('7-User Terminal Set-Up'!G75="Yes", '7-User Terminal Set-Up'!C72,'3-Link Scenario Planner'!E7)</f>
        <v>1</v>
      </c>
      <c r="E12" s="284"/>
      <c r="F12" s="284"/>
      <c r="G12" s="284"/>
      <c r="H12" s="284"/>
      <c r="I12" s="284"/>
      <c r="J12" s="284"/>
      <c r="K12" s="284"/>
      <c r="L12" s="284"/>
      <c r="M12" s="284"/>
      <c r="N12" s="284"/>
      <c r="O12" s="284"/>
      <c r="P12" s="284"/>
      <c r="Q12" s="284"/>
      <c r="R12" s="284"/>
      <c r="S12" s="284"/>
      <c r="T12" s="284"/>
      <c r="U12" s="284"/>
      <c r="V12" s="284"/>
      <c r="W12" s="284"/>
      <c r="X12" s="284"/>
      <c r="Y12" s="284"/>
      <c r="Z12" s="284"/>
      <c r="AA12" s="284"/>
    </row>
    <row r="13" spans="1:28" ht="17" thickBot="1">
      <c r="A13" s="284"/>
      <c r="B13" s="414" t="s">
        <v>263</v>
      </c>
      <c r="C13" s="417" t="s">
        <v>264</v>
      </c>
      <c r="D13" s="635">
        <f>IF('7-User Terminal Set-Up'!G75 ="Yes",'7-User Terminal Set-Up'!C73,'3-Link Scenario Planner'!AA3*100)</f>
        <v>60</v>
      </c>
      <c r="E13" s="284"/>
      <c r="F13" s="284"/>
      <c r="G13" s="284"/>
      <c r="H13" s="284"/>
      <c r="I13" s="284"/>
      <c r="J13" s="284"/>
      <c r="K13" s="284"/>
      <c r="L13" s="284"/>
      <c r="M13" s="284"/>
      <c r="N13" s="284"/>
      <c r="O13" s="284"/>
      <c r="P13" s="284"/>
      <c r="Q13" s="284"/>
      <c r="R13" s="284"/>
      <c r="S13" s="284"/>
      <c r="T13" s="284"/>
      <c r="U13" s="284"/>
      <c r="V13" s="284"/>
      <c r="W13" s="284"/>
      <c r="X13" s="284"/>
      <c r="Y13" s="284"/>
      <c r="Z13" s="284"/>
      <c r="AA13" s="284"/>
    </row>
    <row r="14" spans="1:28" ht="18" thickTop="1" thickBot="1">
      <c r="A14" s="284"/>
      <c r="B14" s="1034" t="s">
        <v>265</v>
      </c>
      <c r="C14" s="1035"/>
      <c r="D14" s="1036"/>
      <c r="E14" s="284"/>
      <c r="F14" s="284"/>
      <c r="G14" s="284"/>
      <c r="H14" s="284"/>
      <c r="I14" s="284"/>
      <c r="J14" s="284"/>
      <c r="K14" s="284"/>
      <c r="L14" s="284"/>
      <c r="M14" s="284"/>
      <c r="N14" s="284"/>
      <c r="O14" s="284"/>
      <c r="P14" s="284"/>
      <c r="Q14" s="284"/>
      <c r="R14" s="284"/>
      <c r="S14" s="284"/>
      <c r="T14" s="284"/>
      <c r="U14" s="284"/>
      <c r="V14" s="284"/>
      <c r="W14" s="284"/>
      <c r="X14" s="284"/>
      <c r="Y14" s="284"/>
      <c r="Z14" s="284"/>
      <c r="AA14" s="284"/>
    </row>
    <row r="15" spans="1:28" ht="17" thickTop="1">
      <c r="A15" s="284"/>
      <c r="B15" s="412" t="s">
        <v>266</v>
      </c>
      <c r="C15" s="416" t="s">
        <v>267</v>
      </c>
      <c r="D15" s="637">
        <f>'5-Frequency'!C12/1000</f>
        <v>10.475</v>
      </c>
      <c r="E15" s="284"/>
      <c r="F15" s="284"/>
      <c r="G15" s="284"/>
      <c r="H15" s="284"/>
      <c r="I15" s="284"/>
      <c r="J15" s="284"/>
      <c r="K15" s="284"/>
      <c r="L15" s="284"/>
      <c r="M15" s="284"/>
      <c r="N15" s="284"/>
      <c r="O15" s="284"/>
      <c r="P15" s="284"/>
      <c r="Q15" s="284"/>
      <c r="R15" s="284"/>
      <c r="S15" s="284"/>
      <c r="T15" s="284"/>
      <c r="U15" s="284"/>
      <c r="V15" s="284"/>
      <c r="W15" s="284"/>
      <c r="X15" s="284"/>
      <c r="Y15" s="284"/>
      <c r="Z15" s="284"/>
      <c r="AA15" s="284"/>
    </row>
    <row r="16" spans="1:28" ht="16">
      <c r="A16" s="284"/>
      <c r="B16" s="412" t="s">
        <v>268</v>
      </c>
      <c r="C16" s="416" t="s">
        <v>269</v>
      </c>
      <c r="D16" s="418">
        <v>45</v>
      </c>
      <c r="E16" s="284"/>
      <c r="F16" s="284"/>
      <c r="G16" s="284"/>
      <c r="H16" s="284"/>
      <c r="I16" s="284"/>
      <c r="J16" s="284"/>
      <c r="K16" s="284"/>
      <c r="L16" s="284"/>
      <c r="M16" s="284"/>
      <c r="N16" s="284"/>
      <c r="O16" s="284"/>
      <c r="P16" s="284"/>
      <c r="Q16" s="284"/>
      <c r="R16" s="284"/>
      <c r="S16" s="284"/>
      <c r="T16" s="284"/>
      <c r="U16" s="284"/>
      <c r="V16" s="284"/>
      <c r="W16" s="284"/>
      <c r="X16" s="284"/>
      <c r="Y16" s="284"/>
      <c r="Z16" s="284"/>
      <c r="AA16" s="284"/>
    </row>
    <row r="17" spans="1:27" ht="17" thickBot="1">
      <c r="A17" s="284"/>
      <c r="B17" s="414" t="s">
        <v>270</v>
      </c>
      <c r="C17" s="417" t="s">
        <v>264</v>
      </c>
      <c r="D17" s="636">
        <f>(1-F17)*100</f>
        <v>0.50000000000000044</v>
      </c>
      <c r="E17" s="284"/>
      <c r="F17" s="638">
        <f>'3-Link Scenario Planner'!$E$15/100</f>
        <v>0.995</v>
      </c>
      <c r="G17" s="323" t="s">
        <v>312</v>
      </c>
      <c r="H17" s="284"/>
      <c r="I17" s="284"/>
      <c r="J17" s="284"/>
      <c r="K17" s="284"/>
      <c r="L17" s="284"/>
      <c r="M17" s="284"/>
      <c r="N17" s="284"/>
      <c r="O17" s="284"/>
      <c r="P17" s="284"/>
      <c r="Q17" s="284"/>
      <c r="R17" s="284"/>
      <c r="S17" s="284"/>
      <c r="T17" s="284"/>
      <c r="U17" s="284"/>
      <c r="V17" s="284"/>
      <c r="W17" s="284"/>
      <c r="X17" s="284"/>
      <c r="Y17" s="284"/>
      <c r="Z17" s="284"/>
      <c r="AA17" s="284"/>
    </row>
    <row r="18" spans="1:27" ht="18" thickTop="1" thickBot="1">
      <c r="A18" s="284"/>
      <c r="B18" s="284"/>
      <c r="C18" s="284"/>
      <c r="D18" s="284"/>
      <c r="E18" s="284"/>
      <c r="F18" s="284"/>
      <c r="G18" s="284"/>
      <c r="H18" s="284"/>
      <c r="I18" s="284"/>
      <c r="J18" s="284"/>
      <c r="K18" s="284"/>
      <c r="L18" s="284"/>
      <c r="M18" s="284"/>
      <c r="N18" s="284"/>
      <c r="O18" s="284"/>
      <c r="P18" s="284"/>
      <c r="Q18" s="284"/>
      <c r="R18" s="284"/>
      <c r="S18" s="284"/>
      <c r="T18" s="284"/>
      <c r="U18" s="284"/>
      <c r="V18" s="284"/>
      <c r="W18" s="284"/>
      <c r="X18" s="284"/>
      <c r="Y18" s="284"/>
      <c r="Z18" s="284"/>
      <c r="AA18" s="284"/>
    </row>
    <row r="19" spans="1:27" ht="18" thickTop="1" thickBot="1">
      <c r="A19" s="284"/>
      <c r="B19" s="1034" t="s">
        <v>271</v>
      </c>
      <c r="C19" s="1035"/>
      <c r="D19" s="1037"/>
      <c r="E19" s="284"/>
      <c r="F19" s="284"/>
      <c r="G19" s="284"/>
      <c r="H19" s="284"/>
      <c r="I19" s="284"/>
      <c r="J19" s="284"/>
      <c r="K19" s="284"/>
      <c r="L19" s="284"/>
      <c r="M19" s="284"/>
      <c r="N19" s="284"/>
      <c r="O19" s="284"/>
      <c r="P19" s="284"/>
      <c r="Q19" s="284"/>
      <c r="R19" s="284"/>
      <c r="S19" s="284"/>
      <c r="T19" s="284"/>
      <c r="U19" s="284"/>
      <c r="V19" s="284"/>
      <c r="W19" s="284"/>
      <c r="X19" s="284"/>
      <c r="Y19" s="284"/>
      <c r="Z19" s="284"/>
      <c r="AA19" s="284"/>
    </row>
    <row r="20" spans="1:27" ht="17" thickTop="1">
      <c r="A20" s="284"/>
      <c r="B20" s="412" t="s">
        <v>272</v>
      </c>
      <c r="C20" s="416" t="s">
        <v>273</v>
      </c>
      <c r="D20" s="419" t="e">
        <f ca="1">rain_intensity(D7,D8,0.01)</f>
        <v>#NAME?</v>
      </c>
      <c r="E20" s="284"/>
      <c r="F20" s="324"/>
      <c r="G20" s="284"/>
      <c r="H20" s="284"/>
      <c r="I20" s="284"/>
      <c r="J20" s="284"/>
      <c r="K20" s="284"/>
      <c r="L20" s="284"/>
      <c r="M20" s="284"/>
      <c r="N20" s="284"/>
      <c r="O20" s="284"/>
      <c r="P20" s="284"/>
      <c r="Q20" s="284"/>
      <c r="R20" s="284"/>
      <c r="S20" s="284"/>
      <c r="T20" s="284"/>
      <c r="U20" s="284"/>
      <c r="V20" s="284"/>
      <c r="W20" s="284"/>
      <c r="X20" s="284"/>
      <c r="Y20" s="284"/>
      <c r="Z20" s="284"/>
      <c r="AA20" s="284"/>
    </row>
    <row r="21" spans="1:27" ht="16">
      <c r="A21" s="284"/>
      <c r="B21" s="412" t="s">
        <v>274</v>
      </c>
      <c r="C21" s="416" t="s">
        <v>275</v>
      </c>
      <c r="D21" s="419" t="e">
        <f ca="1">Nwet(D7,D8)</f>
        <v>#NAME?</v>
      </c>
      <c r="E21" s="284"/>
      <c r="F21" s="284"/>
      <c r="G21" s="284"/>
      <c r="H21" s="284"/>
      <c r="I21" s="284"/>
      <c r="J21" s="284"/>
      <c r="K21" s="284"/>
      <c r="L21" s="284"/>
      <c r="M21" s="284"/>
      <c r="N21" s="284"/>
      <c r="O21" s="284"/>
      <c r="P21" s="284"/>
      <c r="Q21" s="284"/>
      <c r="R21" s="284"/>
      <c r="S21" s="284"/>
      <c r="T21" s="284"/>
      <c r="U21" s="284"/>
      <c r="V21" s="284"/>
      <c r="W21" s="284"/>
      <c r="X21" s="284"/>
      <c r="Y21" s="284"/>
      <c r="Z21" s="284"/>
      <c r="AA21" s="284"/>
    </row>
    <row r="22" spans="1:27" ht="16">
      <c r="A22" s="284"/>
      <c r="B22" s="412" t="s">
        <v>276</v>
      </c>
      <c r="C22" s="416" t="s">
        <v>259</v>
      </c>
      <c r="D22" s="419" t="e">
        <f ca="1">rain_height(D7,D8)</f>
        <v>#NAME?</v>
      </c>
      <c r="E22" s="284"/>
      <c r="F22" s="284"/>
      <c r="G22" s="284"/>
      <c r="H22" s="284"/>
      <c r="I22" s="284"/>
      <c r="J22" s="284"/>
      <c r="K22" s="284"/>
      <c r="L22" s="284"/>
      <c r="M22" s="284"/>
      <c r="N22" s="284"/>
      <c r="O22" s="284"/>
      <c r="P22" s="284"/>
      <c r="Q22" s="284"/>
      <c r="R22" s="284"/>
      <c r="S22" s="284"/>
      <c r="T22" s="284"/>
      <c r="U22" s="284"/>
      <c r="V22" s="284"/>
      <c r="W22" s="284"/>
      <c r="X22" s="284"/>
      <c r="Y22" s="284"/>
      <c r="Z22" s="284"/>
      <c r="AA22" s="284"/>
    </row>
    <row r="23" spans="1:27" ht="16">
      <c r="A23" s="284"/>
      <c r="B23" s="412" t="s">
        <v>277</v>
      </c>
      <c r="C23" s="416" t="s">
        <v>278</v>
      </c>
      <c r="D23" s="419" t="e">
        <f ca="1">TTC(D7,D8,D17)</f>
        <v>#NAME?</v>
      </c>
      <c r="E23" s="284"/>
      <c r="F23" s="284"/>
      <c r="G23" s="284"/>
      <c r="H23" s="284"/>
      <c r="I23" s="284"/>
      <c r="J23" s="284"/>
      <c r="K23" s="284"/>
      <c r="L23" s="284"/>
      <c r="M23" s="284"/>
      <c r="N23" s="284"/>
      <c r="O23" s="284"/>
      <c r="P23" s="284"/>
      <c r="Q23" s="284"/>
      <c r="R23" s="284"/>
      <c r="S23" s="284"/>
      <c r="T23" s="284"/>
      <c r="U23" s="284"/>
      <c r="V23" s="284"/>
      <c r="W23" s="284"/>
      <c r="X23" s="284"/>
      <c r="Y23" s="284"/>
      <c r="Z23" s="284"/>
      <c r="AA23" s="284"/>
    </row>
    <row r="24" spans="1:27" ht="16">
      <c r="A24" s="284"/>
      <c r="B24" s="412" t="s">
        <v>279</v>
      </c>
      <c r="C24" s="416" t="s">
        <v>280</v>
      </c>
      <c r="D24" s="419" t="e">
        <f ca="1">WVC(D7,D8)</f>
        <v>#NAME?</v>
      </c>
      <c r="E24" s="284"/>
      <c r="F24" s="284"/>
      <c r="G24" s="284"/>
      <c r="H24" s="284"/>
      <c r="I24" s="284"/>
      <c r="J24" s="284"/>
      <c r="K24" s="284"/>
      <c r="L24" s="284"/>
      <c r="M24" s="284"/>
      <c r="N24" s="284"/>
      <c r="O24" s="284"/>
      <c r="P24" s="284"/>
      <c r="Q24" s="284"/>
      <c r="R24" s="284"/>
      <c r="S24" s="284"/>
      <c r="T24" s="284"/>
      <c r="U24" s="284"/>
      <c r="V24" s="284"/>
      <c r="W24" s="284"/>
      <c r="X24" s="284"/>
      <c r="Y24" s="284"/>
      <c r="Z24" s="284"/>
      <c r="AA24" s="284"/>
    </row>
    <row r="25" spans="1:27" ht="16">
      <c r="A25" s="284"/>
      <c r="B25" s="412" t="s">
        <v>281</v>
      </c>
      <c r="C25" s="416" t="s">
        <v>278</v>
      </c>
      <c r="D25" s="419" t="e">
        <f ca="1">iwvc(D7,D8,D17)</f>
        <v>#NAME?</v>
      </c>
      <c r="E25" s="284"/>
      <c r="F25" s="284"/>
      <c r="G25" s="284"/>
      <c r="H25" s="284"/>
      <c r="I25" s="284"/>
      <c r="J25" s="284"/>
      <c r="K25" s="284"/>
      <c r="L25" s="284"/>
      <c r="M25" s="284"/>
      <c r="N25" s="284"/>
      <c r="O25" s="284"/>
      <c r="P25" s="284"/>
      <c r="Q25" s="284"/>
      <c r="R25" s="284"/>
      <c r="S25" s="284"/>
      <c r="T25" s="284"/>
      <c r="U25" s="284"/>
      <c r="V25" s="284"/>
      <c r="W25" s="284"/>
      <c r="X25" s="284"/>
      <c r="Y25" s="284"/>
      <c r="Z25" s="284"/>
      <c r="AA25" s="284"/>
    </row>
    <row r="26" spans="1:27" ht="17" thickBot="1">
      <c r="A26" s="284"/>
      <c r="B26" s="414" t="s">
        <v>282</v>
      </c>
      <c r="C26" s="417" t="s">
        <v>283</v>
      </c>
      <c r="D26" s="420" t="e">
        <f ca="1">Temperature(D7,D8)</f>
        <v>#NAME?</v>
      </c>
      <c r="E26" s="284"/>
      <c r="F26" s="284"/>
      <c r="G26" s="284"/>
      <c r="H26" s="284"/>
      <c r="I26" s="284"/>
      <c r="J26" s="284"/>
      <c r="K26" s="284"/>
      <c r="L26" s="284"/>
      <c r="M26" s="284"/>
      <c r="N26" s="284"/>
      <c r="O26" s="284"/>
      <c r="P26" s="284"/>
      <c r="Q26" s="284"/>
      <c r="R26" s="284"/>
      <c r="S26" s="284"/>
      <c r="T26" s="284"/>
      <c r="U26" s="284"/>
      <c r="V26" s="284"/>
      <c r="W26" s="284"/>
      <c r="X26" s="284"/>
      <c r="Y26" s="284"/>
      <c r="Z26" s="284"/>
      <c r="AA26" s="284"/>
    </row>
    <row r="27" spans="1:27" ht="18" thickTop="1" thickBot="1">
      <c r="A27" s="284"/>
      <c r="B27" s="284"/>
      <c r="C27" s="284"/>
      <c r="D27" s="284"/>
      <c r="E27" s="284"/>
      <c r="F27" s="284"/>
      <c r="G27" s="284"/>
      <c r="H27" s="284"/>
      <c r="I27" s="284"/>
      <c r="J27" s="284"/>
      <c r="K27" s="284"/>
      <c r="L27" s="284"/>
      <c r="M27" s="284"/>
      <c r="N27" s="284"/>
      <c r="O27" s="284"/>
      <c r="P27" s="284"/>
      <c r="Q27" s="284"/>
      <c r="R27" s="284"/>
      <c r="S27" s="284"/>
      <c r="T27" s="284"/>
      <c r="U27" s="284"/>
      <c r="V27" s="284"/>
      <c r="W27" s="284"/>
      <c r="X27" s="284"/>
      <c r="Y27" s="284"/>
      <c r="Z27" s="284"/>
      <c r="AA27" s="284"/>
    </row>
    <row r="28" spans="1:27" ht="18" thickTop="1" thickBot="1">
      <c r="A28" s="284"/>
      <c r="B28" s="1034" t="s">
        <v>284</v>
      </c>
      <c r="C28" s="1035"/>
      <c r="D28" s="1037"/>
      <c r="E28" s="284"/>
      <c r="F28" s="284"/>
      <c r="G28" s="284"/>
      <c r="H28" s="284"/>
      <c r="I28" s="284"/>
      <c r="J28" s="284"/>
      <c r="K28" s="284"/>
      <c r="L28" s="284"/>
      <c r="M28" s="284"/>
      <c r="N28" s="284"/>
      <c r="O28" s="284"/>
      <c r="P28" s="284"/>
      <c r="Q28" s="284"/>
      <c r="R28" s="284"/>
      <c r="S28" s="284"/>
      <c r="T28" s="284"/>
      <c r="U28" s="284"/>
      <c r="V28" s="284"/>
      <c r="W28" s="284"/>
      <c r="X28" s="284"/>
      <c r="Y28" s="284"/>
      <c r="Z28" s="284"/>
      <c r="AA28" s="284"/>
    </row>
    <row r="29" spans="1:27" ht="17" thickTop="1">
      <c r="A29" s="284"/>
      <c r="B29" s="412" t="s">
        <v>403</v>
      </c>
      <c r="C29" s="416" t="s">
        <v>178</v>
      </c>
      <c r="D29" s="419" t="e">
        <f ca="1">Agaz(D15,D10*PI()/180,D26,D24)</f>
        <v>#NAME?</v>
      </c>
      <c r="E29" s="284"/>
      <c r="F29" s="284"/>
      <c r="G29" s="284"/>
      <c r="H29" s="284"/>
      <c r="I29" s="284"/>
      <c r="J29" s="284"/>
      <c r="K29" s="284"/>
      <c r="L29" s="284"/>
      <c r="M29" s="284"/>
      <c r="N29" s="284"/>
      <c r="O29" s="284"/>
      <c r="P29" s="284"/>
      <c r="Q29" s="284"/>
      <c r="R29" s="284"/>
      <c r="S29" s="284"/>
      <c r="T29" s="284"/>
      <c r="U29" s="284"/>
      <c r="V29" s="284"/>
      <c r="W29" s="284"/>
      <c r="X29" s="284"/>
      <c r="Y29" s="284"/>
      <c r="Z29" s="284"/>
      <c r="AA29" s="284"/>
    </row>
    <row r="30" spans="1:27" ht="16">
      <c r="A30" s="284"/>
      <c r="B30" s="412" t="s">
        <v>404</v>
      </c>
      <c r="C30" s="416" t="s">
        <v>178</v>
      </c>
      <c r="D30" s="419" t="e">
        <f ca="1">agaz_exceeded(D15,D10*PI()/180,D26,D25,D24)</f>
        <v>#NAME?</v>
      </c>
      <c r="E30" s="284"/>
      <c r="F30" s="632" t="e">
        <f ca="1">D29+D30</f>
        <v>#NAME?</v>
      </c>
      <c r="G30" s="323" t="s">
        <v>313</v>
      </c>
      <c r="H30" s="284"/>
      <c r="I30" s="284"/>
      <c r="J30" s="284"/>
      <c r="K30" s="284"/>
      <c r="L30" s="284"/>
      <c r="M30" s="284"/>
      <c r="N30" s="284"/>
      <c r="O30" s="284"/>
      <c r="P30" s="284"/>
      <c r="Q30" s="284"/>
      <c r="R30" s="284"/>
      <c r="S30" s="284"/>
      <c r="T30" s="284"/>
      <c r="U30" s="284"/>
      <c r="V30" s="284"/>
      <c r="W30" s="284"/>
      <c r="X30" s="284"/>
      <c r="Y30" s="284"/>
      <c r="Z30" s="284"/>
      <c r="AA30" s="284"/>
    </row>
    <row r="31" spans="1:27" ht="16">
      <c r="A31" s="284"/>
      <c r="B31" s="412" t="s">
        <v>285</v>
      </c>
      <c r="C31" s="416" t="s">
        <v>178</v>
      </c>
      <c r="D31" s="419" t="e">
        <f ca="1">Arain(D7,D15,D10*PI()/180,D17,D9,D22,D20,D16)</f>
        <v>#NAME?</v>
      </c>
      <c r="E31" s="284"/>
      <c r="F31" s="284"/>
      <c r="G31" s="284"/>
      <c r="H31" s="284"/>
      <c r="I31" s="284"/>
      <c r="J31" s="284"/>
      <c r="K31" s="284"/>
      <c r="L31" s="284"/>
      <c r="M31" s="284"/>
      <c r="N31" s="284"/>
      <c r="O31" s="284"/>
      <c r="P31" s="284"/>
      <c r="Q31" s="284"/>
      <c r="R31" s="284"/>
      <c r="S31" s="284"/>
      <c r="T31" s="284"/>
      <c r="U31" s="284"/>
      <c r="V31" s="284"/>
      <c r="W31" s="284"/>
      <c r="X31" s="284"/>
      <c r="Y31" s="284"/>
      <c r="Z31" s="284"/>
      <c r="AA31" s="284"/>
    </row>
    <row r="32" spans="1:27" ht="16">
      <c r="A32" s="284"/>
      <c r="B32" s="412" t="s">
        <v>286</v>
      </c>
      <c r="C32" s="416" t="s">
        <v>178</v>
      </c>
      <c r="D32" s="419" t="e">
        <f ca="1">Acloud(D15,D10*PI()/180,D23)</f>
        <v>#NAME?</v>
      </c>
      <c r="E32" s="284"/>
      <c r="F32" s="284"/>
      <c r="G32" s="284"/>
      <c r="H32" s="284"/>
      <c r="I32" s="284"/>
      <c r="J32" s="284"/>
      <c r="K32" s="284"/>
      <c r="L32" s="284"/>
      <c r="M32" s="284"/>
      <c r="N32" s="284"/>
      <c r="O32" s="284"/>
      <c r="P32" s="284"/>
      <c r="Q32" s="284"/>
      <c r="R32" s="284"/>
      <c r="S32" s="284"/>
      <c r="T32" s="284"/>
      <c r="U32" s="284"/>
      <c r="V32" s="284"/>
      <c r="W32" s="284"/>
      <c r="X32" s="284"/>
      <c r="Y32" s="284"/>
      <c r="Z32" s="284"/>
      <c r="AA32" s="284"/>
    </row>
    <row r="33" spans="1:27" ht="17" thickBot="1">
      <c r="A33" s="284"/>
      <c r="B33" s="412" t="s">
        <v>287</v>
      </c>
      <c r="C33" s="416" t="s">
        <v>178</v>
      </c>
      <c r="D33" s="419" t="e">
        <f ca="1">Iscint(D21,D15,D10*PI()/180,D17,D9,D13/100,D12)</f>
        <v>#NAME?</v>
      </c>
      <c r="E33" s="284"/>
      <c r="F33" s="284"/>
      <c r="G33" s="284"/>
      <c r="H33" s="284"/>
      <c r="I33" s="284"/>
      <c r="J33" s="284"/>
      <c r="K33" s="284"/>
      <c r="L33" s="284"/>
      <c r="M33" s="284"/>
      <c r="N33" s="284"/>
      <c r="O33" s="284"/>
      <c r="P33" s="284"/>
      <c r="Q33" s="284"/>
      <c r="R33" s="284"/>
      <c r="S33" s="284"/>
      <c r="T33" s="284"/>
      <c r="U33" s="284"/>
      <c r="V33" s="284"/>
      <c r="W33" s="284"/>
      <c r="X33" s="284"/>
      <c r="Y33" s="284"/>
      <c r="Z33" s="284"/>
      <c r="AA33" s="284"/>
    </row>
    <row r="34" spans="1:27" ht="17" thickBot="1">
      <c r="A34" s="284"/>
      <c r="B34" s="421" t="s">
        <v>288</v>
      </c>
      <c r="C34" s="422" t="s">
        <v>178</v>
      </c>
      <c r="D34" s="423" t="e">
        <f ca="1">D29+SQRT((D31+D32)^2+D33^2)</f>
        <v>#NAME?</v>
      </c>
      <c r="E34" s="311" t="s">
        <v>289</v>
      </c>
      <c r="F34" s="284"/>
      <c r="G34" s="284" t="s">
        <v>442</v>
      </c>
      <c r="H34" s="284"/>
      <c r="I34" s="284"/>
      <c r="J34" s="284"/>
      <c r="K34" s="284"/>
      <c r="L34" s="284"/>
      <c r="M34" s="284"/>
      <c r="N34" s="284"/>
      <c r="O34" s="284"/>
      <c r="P34" s="284"/>
      <c r="Q34" s="284"/>
      <c r="R34" s="284"/>
      <c r="S34" s="284"/>
      <c r="T34" s="284"/>
      <c r="U34" s="284"/>
      <c r="V34" s="284"/>
      <c r="W34" s="284"/>
      <c r="X34" s="284"/>
      <c r="Y34" s="284"/>
      <c r="Z34" s="284"/>
      <c r="AA34" s="284"/>
    </row>
    <row r="35" spans="1:27" ht="17" thickBot="1">
      <c r="A35" s="284"/>
      <c r="B35" s="284"/>
      <c r="C35" s="284"/>
      <c r="D35" s="423" t="e">
        <f ca="1">D30+SQRT((D31+D32)^2+D33^2)</f>
        <v>#NAME?</v>
      </c>
      <c r="E35" s="311" t="s">
        <v>290</v>
      </c>
      <c r="F35" s="284"/>
      <c r="G35" s="441" t="e">
        <f ca="1">D30+D33</f>
        <v>#NAME?</v>
      </c>
      <c r="H35" s="440" t="s">
        <v>31</v>
      </c>
      <c r="I35" s="284"/>
      <c r="J35" s="284"/>
      <c r="K35" s="284"/>
      <c r="L35" s="284"/>
      <c r="M35" s="284"/>
      <c r="N35" s="284"/>
      <c r="O35" s="284"/>
      <c r="P35" s="284"/>
      <c r="Q35" s="284"/>
      <c r="R35" s="284"/>
      <c r="S35" s="284"/>
      <c r="T35" s="284"/>
      <c r="U35" s="284"/>
      <c r="V35" s="284"/>
      <c r="W35" s="284"/>
      <c r="X35" s="284"/>
      <c r="Y35" s="284"/>
      <c r="Z35" s="284"/>
      <c r="AA35" s="284"/>
    </row>
    <row r="36" spans="1:27" ht="16">
      <c r="A36" s="284"/>
      <c r="B36" s="284"/>
      <c r="C36" s="284"/>
      <c r="D36" s="284"/>
      <c r="E36" s="284"/>
      <c r="F36" s="284"/>
      <c r="G36" s="284"/>
      <c r="H36" s="284"/>
      <c r="I36" s="284"/>
      <c r="J36" s="284"/>
      <c r="K36" s="284"/>
      <c r="L36" s="284"/>
      <c r="M36" s="284"/>
      <c r="N36" s="284"/>
      <c r="O36" s="284"/>
      <c r="P36" s="284"/>
      <c r="Q36" s="284"/>
      <c r="R36" s="284"/>
      <c r="S36" s="284"/>
      <c r="T36" s="284"/>
      <c r="U36" s="284"/>
      <c r="V36" s="284"/>
      <c r="W36" s="284"/>
      <c r="X36" s="284"/>
      <c r="Y36" s="284"/>
      <c r="Z36" s="284"/>
      <c r="AA36" s="284"/>
    </row>
    <row r="37" spans="1:27" ht="16">
      <c r="A37" s="284"/>
      <c r="B37" s="284"/>
      <c r="C37" s="284"/>
      <c r="D37" s="284"/>
      <c r="E37" s="284"/>
      <c r="F37" s="284"/>
      <c r="G37" s="284"/>
      <c r="H37" s="284"/>
      <c r="I37" s="284"/>
      <c r="J37" s="284"/>
      <c r="K37" s="284"/>
      <c r="L37" s="284"/>
      <c r="M37" s="284"/>
      <c r="N37" s="284"/>
      <c r="O37" s="284"/>
      <c r="P37" s="284"/>
      <c r="Q37" s="284"/>
      <c r="R37" s="284"/>
      <c r="S37" s="284"/>
      <c r="T37" s="284"/>
      <c r="U37" s="284"/>
      <c r="V37" s="284"/>
      <c r="W37" s="284"/>
      <c r="X37" s="284"/>
      <c r="Y37" s="284"/>
      <c r="Z37" s="284"/>
      <c r="AA37" s="284"/>
    </row>
    <row r="38" spans="1:27" ht="16">
      <c r="A38" s="284"/>
      <c r="B38" s="308" t="s">
        <v>300</v>
      </c>
      <c r="C38" s="309" t="e">
        <f ca="1">D26*(1-(2.718^(-D35/4.34)))</f>
        <v>#NAME?</v>
      </c>
      <c r="D38" s="310" t="s">
        <v>50</v>
      </c>
      <c r="E38" s="284"/>
      <c r="F38" s="284"/>
      <c r="G38" s="284"/>
      <c r="H38" s="284"/>
      <c r="I38" s="284"/>
      <c r="J38" s="284"/>
      <c r="K38" s="284"/>
      <c r="L38" s="284"/>
      <c r="M38" s="284"/>
      <c r="N38" s="284"/>
      <c r="O38" s="284"/>
      <c r="P38" s="284"/>
      <c r="Q38" s="284"/>
      <c r="R38" s="284"/>
      <c r="S38" s="284"/>
      <c r="T38" s="284"/>
      <c r="U38" s="284"/>
      <c r="V38" s="284"/>
      <c r="W38" s="284"/>
      <c r="X38" s="284"/>
      <c r="Y38" s="284"/>
      <c r="Z38" s="284"/>
      <c r="AA38" s="284"/>
    </row>
    <row r="39" spans="1:27" ht="16">
      <c r="A39" s="284"/>
      <c r="B39" s="284"/>
      <c r="C39" s="284"/>
      <c r="D39" s="284"/>
      <c r="E39" s="284"/>
      <c r="F39" s="284"/>
      <c r="G39" s="284"/>
      <c r="H39" s="284"/>
      <c r="I39" s="284"/>
      <c r="J39" s="284"/>
      <c r="K39" s="284"/>
      <c r="L39" s="284"/>
      <c r="M39" s="284"/>
      <c r="N39" s="284"/>
      <c r="O39" s="284"/>
      <c r="P39" s="284"/>
      <c r="Q39" s="284"/>
      <c r="R39" s="284"/>
      <c r="S39" s="284"/>
      <c r="T39" s="284"/>
      <c r="U39" s="284"/>
      <c r="V39" s="284"/>
      <c r="W39" s="284"/>
      <c r="X39" s="284"/>
      <c r="Y39" s="284"/>
      <c r="Z39" s="284"/>
      <c r="AA39" s="284"/>
    </row>
    <row r="40" spans="1:27" ht="16">
      <c r="A40" s="284"/>
      <c r="B40" s="284"/>
      <c r="C40" s="284"/>
      <c r="D40" s="284"/>
      <c r="E40" s="284"/>
      <c r="F40" s="284"/>
      <c r="G40" s="284"/>
      <c r="H40" s="284"/>
      <c r="I40" s="284"/>
      <c r="J40" s="284"/>
      <c r="K40" s="284"/>
      <c r="L40" s="284"/>
      <c r="M40" s="284"/>
      <c r="N40" s="284"/>
      <c r="O40" s="284"/>
      <c r="P40" s="284"/>
      <c r="Q40" s="284"/>
      <c r="R40" s="284"/>
      <c r="S40" s="284"/>
      <c r="T40" s="284"/>
      <c r="U40" s="284"/>
      <c r="V40" s="284"/>
      <c r="W40" s="284"/>
      <c r="X40" s="284"/>
      <c r="Y40" s="284"/>
      <c r="Z40" s="284"/>
      <c r="AA40" s="284"/>
    </row>
    <row r="41" spans="1:27" ht="16">
      <c r="A41" s="284"/>
      <c r="B41" s="284"/>
      <c r="C41" s="284"/>
      <c r="D41" s="284"/>
      <c r="E41" s="284"/>
      <c r="F41" s="284"/>
      <c r="G41" s="284"/>
      <c r="H41" s="284"/>
      <c r="I41" s="284"/>
      <c r="J41" s="284"/>
      <c r="K41" s="284"/>
      <c r="L41" s="284"/>
      <c r="M41" s="284"/>
      <c r="N41" s="284"/>
      <c r="O41" s="284"/>
      <c r="P41" s="284"/>
      <c r="Q41" s="284"/>
      <c r="R41" s="284"/>
      <c r="S41" s="284"/>
      <c r="T41" s="284"/>
      <c r="U41" s="284"/>
      <c r="V41" s="284"/>
      <c r="W41" s="284"/>
      <c r="X41" s="284"/>
      <c r="Y41" s="284"/>
      <c r="Z41" s="284"/>
      <c r="AA41" s="284"/>
    </row>
    <row r="42" spans="1:27" ht="16">
      <c r="A42" s="284"/>
      <c r="B42" s="284"/>
      <c r="C42" s="284"/>
      <c r="D42" s="284"/>
      <c r="E42" s="284"/>
      <c r="F42" s="284"/>
      <c r="G42" s="284"/>
      <c r="H42" s="284"/>
      <c r="I42" s="284"/>
      <c r="J42" s="284"/>
      <c r="K42" s="284"/>
      <c r="L42" s="284"/>
      <c r="M42" s="284"/>
      <c r="N42" s="284"/>
      <c r="O42" s="284"/>
      <c r="P42" s="284"/>
      <c r="Q42" s="284"/>
      <c r="R42" s="284"/>
      <c r="S42" s="284"/>
      <c r="T42" s="284"/>
      <c r="U42" s="284"/>
      <c r="V42" s="284"/>
      <c r="W42" s="284"/>
      <c r="X42" s="284"/>
      <c r="Y42" s="284"/>
      <c r="Z42" s="284"/>
      <c r="AA42" s="284"/>
    </row>
    <row r="43" spans="1:27" ht="16">
      <c r="A43" s="284"/>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row>
    <row r="44" spans="1:27" ht="16">
      <c r="A44" s="284"/>
      <c r="B44" s="284"/>
      <c r="C44" s="284"/>
      <c r="D44" s="284"/>
      <c r="E44" s="284"/>
      <c r="F44" s="284"/>
      <c r="G44" s="284"/>
      <c r="H44" s="284"/>
      <c r="I44" s="284"/>
      <c r="J44" s="284"/>
      <c r="K44" s="284"/>
      <c r="L44" s="284"/>
      <c r="M44" s="284"/>
      <c r="N44" s="284"/>
      <c r="O44" s="284"/>
      <c r="P44" s="284"/>
      <c r="Q44" s="284"/>
      <c r="R44" s="284"/>
      <c r="S44" s="284"/>
      <c r="T44" s="284"/>
      <c r="U44" s="284"/>
      <c r="V44" s="284"/>
      <c r="W44" s="284"/>
      <c r="X44" s="284"/>
      <c r="Y44" s="284"/>
      <c r="Z44" s="284"/>
      <c r="AA44" s="284"/>
    </row>
    <row r="45" spans="1:27" ht="16">
      <c r="A45" s="284"/>
      <c r="B45" s="284"/>
      <c r="C45" s="284"/>
      <c r="D45" s="284"/>
      <c r="E45" s="284"/>
      <c r="F45" s="284"/>
      <c r="G45" s="284"/>
      <c r="H45" s="284"/>
      <c r="I45" s="284"/>
      <c r="J45" s="284"/>
      <c r="K45" s="284"/>
      <c r="L45" s="284"/>
      <c r="M45" s="284"/>
      <c r="N45" s="284"/>
      <c r="O45" s="284"/>
      <c r="P45" s="284"/>
      <c r="Q45" s="284"/>
      <c r="R45" s="284"/>
      <c r="S45" s="284"/>
      <c r="T45" s="284"/>
      <c r="U45" s="284"/>
      <c r="V45" s="284"/>
      <c r="W45" s="284"/>
      <c r="X45" s="284"/>
      <c r="Y45" s="284"/>
      <c r="Z45" s="284"/>
      <c r="AA45" s="284"/>
    </row>
    <row r="46" spans="1:27" ht="16">
      <c r="A46" s="284"/>
      <c r="B46" s="284"/>
      <c r="C46" s="284"/>
      <c r="D46" s="284"/>
      <c r="E46" s="284"/>
      <c r="F46" s="284"/>
      <c r="G46" s="284"/>
      <c r="H46" s="284"/>
      <c r="I46" s="284"/>
      <c r="J46" s="284"/>
      <c r="K46" s="284"/>
      <c r="L46" s="284"/>
      <c r="M46" s="284"/>
      <c r="N46" s="284"/>
      <c r="O46" s="284"/>
      <c r="P46" s="284"/>
      <c r="Q46" s="284"/>
      <c r="R46" s="284"/>
      <c r="S46" s="284"/>
      <c r="T46" s="284"/>
      <c r="U46" s="284"/>
      <c r="V46" s="284"/>
      <c r="W46" s="284"/>
      <c r="X46" s="284"/>
      <c r="Y46" s="284"/>
      <c r="Z46" s="284"/>
      <c r="AA46" s="284"/>
    </row>
    <row r="47" spans="1:27" ht="16">
      <c r="A47" s="284"/>
      <c r="B47" s="284"/>
      <c r="C47" s="284"/>
      <c r="D47" s="284"/>
      <c r="E47" s="284"/>
      <c r="F47" s="284"/>
      <c r="G47" s="284"/>
      <c r="H47" s="284"/>
      <c r="I47" s="284"/>
      <c r="J47" s="284"/>
      <c r="K47" s="284"/>
      <c r="L47" s="284"/>
      <c r="M47" s="284"/>
      <c r="N47" s="284"/>
      <c r="O47" s="284"/>
      <c r="P47" s="284"/>
      <c r="Q47" s="284"/>
      <c r="R47" s="284"/>
      <c r="S47" s="284"/>
      <c r="T47" s="284"/>
      <c r="U47" s="284"/>
      <c r="V47" s="284"/>
      <c r="W47" s="284"/>
      <c r="X47" s="284"/>
      <c r="Y47" s="284"/>
      <c r="Z47" s="284"/>
      <c r="AA47" s="284"/>
    </row>
    <row r="48" spans="1:27" ht="16">
      <c r="A48" s="284"/>
      <c r="B48" s="284"/>
      <c r="C48" s="284"/>
      <c r="D48" s="284"/>
      <c r="E48" s="284"/>
      <c r="F48" s="284"/>
      <c r="G48" s="284"/>
      <c r="H48" s="284"/>
      <c r="I48" s="284"/>
      <c r="J48" s="284"/>
      <c r="K48" s="284"/>
      <c r="L48" s="284"/>
      <c r="M48" s="284"/>
      <c r="N48" s="284"/>
      <c r="O48" s="284"/>
      <c r="P48" s="284"/>
      <c r="Q48" s="284"/>
      <c r="R48" s="284"/>
      <c r="S48" s="284"/>
      <c r="T48" s="284"/>
      <c r="U48" s="284"/>
      <c r="V48" s="284"/>
      <c r="W48" s="284"/>
      <c r="X48" s="284"/>
      <c r="Y48" s="284"/>
      <c r="Z48" s="284"/>
      <c r="AA48" s="284"/>
    </row>
    <row r="49" spans="1:27" ht="16">
      <c r="A49" s="284"/>
      <c r="B49" s="284"/>
      <c r="C49" s="284"/>
      <c r="D49" s="284"/>
      <c r="E49" s="284"/>
      <c r="F49" s="284"/>
      <c r="G49" s="284"/>
      <c r="H49" s="284"/>
      <c r="I49" s="284"/>
      <c r="J49" s="284"/>
      <c r="K49" s="284"/>
      <c r="L49" s="284"/>
      <c r="M49" s="284"/>
      <c r="N49" s="284"/>
      <c r="O49" s="284"/>
      <c r="P49" s="284"/>
      <c r="Q49" s="284"/>
      <c r="R49" s="284"/>
      <c r="S49" s="284"/>
      <c r="T49" s="284"/>
      <c r="U49" s="284"/>
      <c r="V49" s="284"/>
      <c r="W49" s="284"/>
      <c r="X49" s="284"/>
      <c r="Y49" s="284"/>
      <c r="Z49" s="284"/>
      <c r="AA49" s="284"/>
    </row>
    <row r="50" spans="1:27" ht="16">
      <c r="A50" s="284"/>
      <c r="B50" s="284"/>
      <c r="C50" s="284"/>
      <c r="D50" s="284"/>
      <c r="E50" s="284"/>
      <c r="F50" s="284"/>
      <c r="G50" s="284"/>
      <c r="H50" s="284"/>
      <c r="I50" s="284"/>
      <c r="J50" s="284"/>
      <c r="K50" s="284"/>
      <c r="L50" s="284"/>
      <c r="M50" s="284"/>
      <c r="N50" s="284"/>
      <c r="O50" s="284"/>
      <c r="P50" s="284"/>
      <c r="Q50" s="284"/>
      <c r="R50" s="284"/>
      <c r="S50" s="284"/>
      <c r="T50" s="284"/>
      <c r="U50" s="284"/>
      <c r="V50" s="284"/>
      <c r="W50" s="284"/>
      <c r="X50" s="284"/>
      <c r="Y50" s="284"/>
      <c r="Z50" s="284"/>
      <c r="AA50" s="284"/>
    </row>
  </sheetData>
  <mergeCells count="7">
    <mergeCell ref="B28:D28"/>
    <mergeCell ref="B3:D3"/>
    <mergeCell ref="B4:C4"/>
    <mergeCell ref="B6:D6"/>
    <mergeCell ref="B11:D11"/>
    <mergeCell ref="B14:D14"/>
    <mergeCell ref="B19:D19"/>
  </mergeCells>
  <phoneticPr fontId="66" type="noConversion"/>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00B0F0"/>
  </sheetPr>
  <dimension ref="A1:Z101"/>
  <sheetViews>
    <sheetView zoomScaleNormal="100" workbookViewId="0">
      <selection activeCell="A16" sqref="A16"/>
    </sheetView>
  </sheetViews>
  <sheetFormatPr baseColWidth="10" defaultColWidth="8.83203125" defaultRowHeight="13"/>
  <cols>
    <col min="1" max="1" width="8.5" customWidth="1"/>
    <col min="2" max="2" width="39" customWidth="1"/>
    <col min="3" max="3" width="11.33203125" customWidth="1"/>
    <col min="4" max="4" width="10.5" customWidth="1"/>
    <col min="6" max="6" width="10.5" customWidth="1"/>
    <col min="7" max="7" width="16" customWidth="1"/>
    <col min="8" max="8" width="5.6640625" customWidth="1"/>
    <col min="9" max="9" width="7.5" customWidth="1"/>
    <col min="10" max="10" width="29.5" customWidth="1"/>
    <col min="12" max="12" width="9.5" bestFit="1" customWidth="1"/>
  </cols>
  <sheetData>
    <row r="1" spans="1:26" ht="19" thickBot="1">
      <c r="A1" s="934" t="s">
        <v>656</v>
      </c>
      <c r="B1" s="88" t="s">
        <v>657</v>
      </c>
      <c r="C1" s="49"/>
      <c r="D1" s="49"/>
      <c r="E1" s="49"/>
      <c r="F1" s="49"/>
      <c r="G1" s="49"/>
      <c r="H1" s="49"/>
      <c r="I1" s="49" t="str">
        <f>'1-Title Page'!G1</f>
        <v xml:space="preserve"> Version: 7.0.3</v>
      </c>
      <c r="J1" s="49"/>
      <c r="K1" s="230" t="s">
        <v>140</v>
      </c>
      <c r="L1" s="49"/>
      <c r="M1" s="49"/>
      <c r="N1" s="49"/>
      <c r="O1" s="49"/>
      <c r="P1" s="49"/>
      <c r="Q1" s="49"/>
      <c r="R1" s="49"/>
      <c r="S1" s="49"/>
      <c r="T1" s="49"/>
      <c r="U1" s="49"/>
      <c r="V1" s="49"/>
      <c r="W1" s="49"/>
      <c r="X1" s="49"/>
      <c r="Y1" s="49"/>
      <c r="Z1" s="49"/>
    </row>
    <row r="2" spans="1:26">
      <c r="A2" s="1"/>
      <c r="B2" s="1"/>
      <c r="C2" s="1"/>
      <c r="D2" s="1"/>
      <c r="E2" s="1"/>
      <c r="F2" s="1"/>
      <c r="G2" s="1"/>
      <c r="H2" s="1"/>
      <c r="I2" s="1"/>
      <c r="J2" s="1045" t="s">
        <v>223</v>
      </c>
      <c r="K2" s="1046"/>
      <c r="L2" s="1046"/>
      <c r="M2" s="1046"/>
      <c r="N2" s="1"/>
      <c r="O2" s="1"/>
      <c r="P2" s="1"/>
      <c r="Q2" s="1"/>
      <c r="R2" s="1"/>
      <c r="S2" s="1"/>
      <c r="T2" s="1"/>
      <c r="U2" s="1"/>
      <c r="V2" s="1"/>
      <c r="W2" s="1"/>
      <c r="X2" s="1"/>
      <c r="Y2" s="1"/>
      <c r="Z2" s="1"/>
    </row>
    <row r="3" spans="1:26">
      <c r="A3" s="1"/>
      <c r="B3" s="1047" t="s">
        <v>133</v>
      </c>
      <c r="C3" s="1047"/>
      <c r="D3" s="1047"/>
      <c r="E3" s="1047"/>
      <c r="F3" s="1"/>
      <c r="G3" s="1"/>
      <c r="H3" s="1"/>
      <c r="I3" s="1"/>
      <c r="J3" s="97" t="s">
        <v>176</v>
      </c>
      <c r="K3" s="1"/>
      <c r="L3" s="75">
        <f>'5-Frequency'!C6</f>
        <v>24025</v>
      </c>
      <c r="M3" s="76" t="s">
        <v>28</v>
      </c>
      <c r="N3" s="1"/>
      <c r="O3" s="1"/>
      <c r="P3" s="1"/>
      <c r="Q3" s="1"/>
      <c r="R3" s="1"/>
      <c r="S3" s="1"/>
      <c r="T3" s="1"/>
      <c r="U3" s="1"/>
      <c r="V3" s="1"/>
      <c r="W3" s="1"/>
      <c r="X3" s="1"/>
      <c r="Y3" s="1"/>
      <c r="Z3" s="1"/>
    </row>
    <row r="4" spans="1:26">
      <c r="A4" s="1"/>
      <c r="B4" s="479"/>
      <c r="C4" s="479"/>
      <c r="D4" s="479"/>
      <c r="E4" s="479"/>
      <c r="F4" s="1"/>
      <c r="G4" s="1"/>
      <c r="H4" s="1"/>
      <c r="I4" s="1"/>
      <c r="J4" s="98"/>
      <c r="K4" s="1"/>
      <c r="L4" s="1"/>
      <c r="M4" s="1"/>
      <c r="N4" s="1"/>
      <c r="O4" s="1"/>
      <c r="P4" s="1"/>
      <c r="Q4" s="1"/>
      <c r="R4" s="1"/>
      <c r="S4" s="1"/>
      <c r="T4" s="1"/>
      <c r="U4" s="1"/>
      <c r="V4" s="1"/>
      <c r="W4" s="1"/>
      <c r="X4" s="1"/>
      <c r="Y4" s="1"/>
      <c r="Z4" s="1"/>
    </row>
    <row r="5" spans="1:26" ht="16">
      <c r="A5" s="1"/>
      <c r="B5" s="502" t="s">
        <v>481</v>
      </c>
      <c r="C5" s="479"/>
      <c r="D5" s="1051" t="str">
        <f>IF('3-Link Scenario Planner'!H15 = "Yes", "Faded (with Rain + Clouds)", "Clear Sky (Atmosphere + Scintillation Only)")</f>
        <v>Clear Sky (Atmosphere + Scintillation Only)</v>
      </c>
      <c r="E5" s="1052"/>
      <c r="F5" s="1052"/>
      <c r="G5" s="1052"/>
      <c r="H5" s="1053"/>
      <c r="I5" s="1"/>
      <c r="J5" s="97" t="s">
        <v>137</v>
      </c>
      <c r="K5" s="1"/>
      <c r="L5" s="86">
        <f>'8-Uplink Budget'!C11</f>
        <v>45.794780430648096</v>
      </c>
      <c r="M5" s="76" t="s">
        <v>49</v>
      </c>
      <c r="N5" s="1"/>
      <c r="O5" s="1"/>
      <c r="P5" s="1"/>
      <c r="Q5" s="1"/>
      <c r="R5" s="1"/>
      <c r="S5" s="1"/>
      <c r="T5" s="1"/>
      <c r="U5" s="1"/>
      <c r="V5" s="1"/>
      <c r="W5" s="1"/>
      <c r="X5" s="1"/>
      <c r="Y5" s="1"/>
      <c r="Z5" s="1"/>
    </row>
    <row r="6" spans="1:26" ht="14" thickBot="1">
      <c r="A6" s="1"/>
      <c r="B6" s="1"/>
      <c r="C6" s="1"/>
      <c r="D6" s="1049" t="s">
        <v>331</v>
      </c>
      <c r="E6" s="1049"/>
      <c r="F6" s="1"/>
      <c r="G6" s="105" t="s">
        <v>330</v>
      </c>
      <c r="H6" s="1"/>
      <c r="I6" s="1"/>
      <c r="J6" s="98"/>
      <c r="K6" s="1"/>
      <c r="L6" s="1"/>
      <c r="M6" s="1"/>
      <c r="N6" s="1"/>
      <c r="O6" s="1"/>
      <c r="P6" s="1"/>
      <c r="Q6" s="1"/>
      <c r="R6" s="1"/>
      <c r="S6" s="1"/>
      <c r="T6" s="1"/>
      <c r="U6" s="1"/>
      <c r="V6" s="1"/>
      <c r="W6" s="1"/>
      <c r="X6" s="1"/>
      <c r="Y6" s="1"/>
      <c r="Z6" s="1"/>
    </row>
    <row r="7" spans="1:26" ht="17" thickBot="1">
      <c r="A7" s="1"/>
      <c r="B7" s="605" t="s">
        <v>589</v>
      </c>
      <c r="C7" s="1"/>
      <c r="D7" s="426" t="e">
        <f ca="1">IF('3-Link Scenario Planner'!H15="Yes",'8-Uplink Budget'!C52,'8-Uplink Budget'!C51)</f>
        <v>#NAME?</v>
      </c>
      <c r="E7" s="427" t="s">
        <v>31</v>
      </c>
      <c r="F7" s="249"/>
      <c r="G7" s="428" t="e">
        <f ca="1">IF('3-Link Scenario Planner'!H15="Yes", '8-Uplink Budget'!C55,'8-Uplink Budget'!C54)</f>
        <v>#NAME?</v>
      </c>
      <c r="H7" s="1"/>
      <c r="I7" s="1"/>
      <c r="J7" s="97" t="s">
        <v>136</v>
      </c>
      <c r="K7" s="1"/>
      <c r="L7" s="86">
        <f>'8-Uplink Budget'!C6</f>
        <v>1</v>
      </c>
      <c r="M7" s="76" t="s">
        <v>107</v>
      </c>
      <c r="N7" s="1"/>
      <c r="O7" s="1"/>
      <c r="P7" s="1"/>
      <c r="Q7" s="1"/>
      <c r="R7" s="1"/>
      <c r="S7" s="1"/>
      <c r="T7" s="347" t="s">
        <v>3</v>
      </c>
      <c r="U7" s="1"/>
      <c r="V7" s="1"/>
      <c r="W7" s="1"/>
      <c r="X7" s="1"/>
      <c r="Y7" s="1"/>
      <c r="Z7" s="1"/>
    </row>
    <row r="8" spans="1:26" ht="14" thickBot="1">
      <c r="A8" s="1"/>
      <c r="B8" s="1"/>
      <c r="C8" s="1"/>
      <c r="D8" s="1050" t="s">
        <v>331</v>
      </c>
      <c r="E8" s="1050"/>
      <c r="F8" s="50"/>
      <c r="G8" s="105" t="s">
        <v>330</v>
      </c>
      <c r="H8" s="1"/>
      <c r="I8" s="1"/>
      <c r="J8" s="1"/>
      <c r="K8" s="1"/>
      <c r="L8" s="1"/>
      <c r="M8" s="1"/>
      <c r="N8" s="1"/>
      <c r="O8" s="1"/>
      <c r="P8" s="1"/>
      <c r="Q8" s="1"/>
      <c r="R8" s="1"/>
      <c r="S8" s="1"/>
      <c r="T8" s="1"/>
      <c r="U8" s="1"/>
      <c r="V8" s="1"/>
      <c r="W8" s="1"/>
      <c r="X8" s="1"/>
      <c r="Y8" s="1"/>
      <c r="Z8" s="1"/>
    </row>
    <row r="9" spans="1:26" ht="15" customHeight="1" thickBot="1">
      <c r="A9" s="1"/>
      <c r="B9" s="501" t="s">
        <v>541</v>
      </c>
      <c r="C9" s="74" t="s">
        <v>3</v>
      </c>
      <c r="D9" s="494" t="e">
        <f ca="1">IF('3-Link Scenario Planner'!H15="Yes",'9-Downlink Budget'!C51,'9-Downlink Budget'!C50)</f>
        <v>#NAME?</v>
      </c>
      <c r="E9" s="499" t="s">
        <v>31</v>
      </c>
      <c r="F9" s="249"/>
      <c r="G9" s="498" t="e">
        <f ca="1">IF('3-Link Scenario Planner'!H15="Yes",'9-Downlink Budget'!C47,'9-Downlink Budget'!C46)</f>
        <v>#NAME?</v>
      </c>
      <c r="H9" s="1"/>
      <c r="I9" s="1"/>
      <c r="J9" s="611" t="s">
        <v>595</v>
      </c>
      <c r="K9" s="1"/>
      <c r="L9" s="613">
        <f>'8-Uplink Budget'!C12</f>
        <v>43.994780430648099</v>
      </c>
      <c r="M9" s="612" t="s">
        <v>47</v>
      </c>
      <c r="N9" s="1"/>
      <c r="O9" s="1"/>
      <c r="P9" s="1"/>
      <c r="Q9" s="1"/>
      <c r="R9" s="1"/>
      <c r="S9" s="1"/>
      <c r="T9" s="1"/>
      <c r="U9" s="1"/>
      <c r="V9" s="1"/>
      <c r="W9" s="1"/>
      <c r="X9" s="1"/>
      <c r="Y9" s="1"/>
      <c r="Z9" s="1"/>
    </row>
    <row r="10" spans="1:26" ht="14" thickBot="1">
      <c r="A10" s="1"/>
      <c r="B10" s="69" t="s">
        <v>3</v>
      </c>
      <c r="C10" s="1"/>
      <c r="D10" s="1049" t="s">
        <v>3</v>
      </c>
      <c r="E10" s="1049"/>
      <c r="F10" s="1"/>
      <c r="G10" s="105" t="s">
        <v>3</v>
      </c>
      <c r="H10" s="1"/>
      <c r="I10" s="1"/>
      <c r="J10" s="1047" t="s">
        <v>210</v>
      </c>
      <c r="K10" s="1047"/>
      <c r="L10" s="1047"/>
      <c r="M10" s="1047"/>
      <c r="N10" s="1"/>
      <c r="O10" s="1"/>
      <c r="P10" s="1"/>
      <c r="Q10" s="1"/>
      <c r="R10" s="1"/>
      <c r="S10" s="1"/>
      <c r="T10" s="1"/>
      <c r="U10" s="1"/>
      <c r="V10" s="1"/>
      <c r="W10" s="1"/>
      <c r="X10" s="1"/>
      <c r="Y10" s="1"/>
      <c r="Z10" s="1"/>
    </row>
    <row r="11" spans="1:26" ht="14" thickBot="1">
      <c r="A11" s="1"/>
      <c r="B11" s="126" t="s">
        <v>496</v>
      </c>
      <c r="C11" s="1"/>
      <c r="D11" s="332" t="e">
        <f ca="1">'3-Link Scenario Planner'!E57</f>
        <v>#NAME?</v>
      </c>
      <c r="E11" s="150" t="s">
        <v>179</v>
      </c>
      <c r="F11" s="50" t="s">
        <v>482</v>
      </c>
      <c r="G11" s="1"/>
      <c r="H11" s="352">
        <f>'6-SC TX &amp; RX Set-Up'!J11</f>
        <v>1</v>
      </c>
      <c r="I11" s="50" t="s">
        <v>341</v>
      </c>
      <c r="J11" s="85" t="s">
        <v>177</v>
      </c>
      <c r="K11" s="1"/>
      <c r="L11" s="75">
        <f>'5-Frequency'!C12</f>
        <v>10475</v>
      </c>
      <c r="M11" s="76" t="s">
        <v>28</v>
      </c>
      <c r="N11" s="1"/>
      <c r="O11" s="1"/>
      <c r="P11" s="1"/>
      <c r="Q11" s="1"/>
      <c r="R11" s="1"/>
      <c r="S11" s="1"/>
      <c r="T11" s="1"/>
      <c r="U11" s="1"/>
      <c r="V11" s="1"/>
      <c r="W11" s="1"/>
      <c r="X11" s="1"/>
      <c r="Y11" s="1"/>
      <c r="Z11" s="1"/>
    </row>
    <row r="12" spans="1:26" ht="14" thickBot="1">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ht="14" thickBot="1">
      <c r="A13" s="1"/>
      <c r="B13" s="126" t="s">
        <v>495</v>
      </c>
      <c r="C13" s="1"/>
      <c r="D13" s="332" t="e">
        <f ca="1">D11*D24</f>
        <v>#NAME?</v>
      </c>
      <c r="E13" s="150" t="s">
        <v>179</v>
      </c>
      <c r="F13" s="50" t="s">
        <v>181</v>
      </c>
      <c r="G13" s="1"/>
      <c r="H13" s="321"/>
      <c r="I13" s="1"/>
      <c r="J13" s="85" t="s">
        <v>131</v>
      </c>
      <c r="K13" s="1"/>
      <c r="L13" s="86">
        <f>'9-Downlink Budget'!C30</f>
        <v>38.58459313660309</v>
      </c>
      <c r="M13" s="76" t="s">
        <v>49</v>
      </c>
      <c r="N13" s="1"/>
      <c r="O13" s="1"/>
      <c r="P13" s="1"/>
      <c r="Q13" s="1"/>
      <c r="R13" s="1"/>
      <c r="S13" s="1"/>
      <c r="T13" s="1"/>
      <c r="U13" s="1"/>
      <c r="V13" s="1"/>
      <c r="W13" s="1"/>
      <c r="X13" s="1"/>
      <c r="Y13" s="1"/>
      <c r="Z13" s="1"/>
    </row>
    <row r="14" spans="1:26">
      <c r="A14" s="1"/>
      <c r="B14" s="1"/>
      <c r="C14" s="1"/>
      <c r="D14" s="1054" t="s">
        <v>483</v>
      </c>
      <c r="E14" s="1054"/>
      <c r="F14" s="1"/>
      <c r="G14" s="1"/>
      <c r="H14" s="1"/>
      <c r="I14" s="1"/>
      <c r="J14" s="69" t="s">
        <v>3</v>
      </c>
      <c r="K14" s="1"/>
      <c r="L14" s="1"/>
      <c r="M14" s="1"/>
      <c r="N14" s="1"/>
      <c r="O14" s="1"/>
      <c r="P14" s="1"/>
      <c r="Q14" s="1"/>
      <c r="R14" s="1"/>
      <c r="S14" s="1"/>
      <c r="T14" s="1"/>
      <c r="U14" s="1"/>
      <c r="V14" s="1"/>
      <c r="W14" s="1"/>
      <c r="X14" s="1"/>
      <c r="Y14" s="1"/>
      <c r="Z14" s="1"/>
    </row>
    <row r="15" spans="1:26">
      <c r="A15" s="1"/>
      <c r="B15" s="1"/>
      <c r="C15" s="1"/>
      <c r="D15" s="1048" t="s">
        <v>3</v>
      </c>
      <c r="E15" s="1048"/>
      <c r="F15" s="1"/>
      <c r="G15" s="1"/>
      <c r="H15" s="1"/>
      <c r="I15" s="1"/>
      <c r="J15" s="85" t="s">
        <v>132</v>
      </c>
      <c r="K15" s="1"/>
      <c r="L15" s="75">
        <f>'9-Downlink Budget'!C33</f>
        <v>210</v>
      </c>
      <c r="M15" s="76" t="s">
        <v>50</v>
      </c>
      <c r="N15" s="1"/>
      <c r="O15" s="1"/>
      <c r="P15" s="1"/>
      <c r="Q15" s="1"/>
      <c r="R15" s="1"/>
      <c r="S15" s="1"/>
      <c r="T15" s="1"/>
      <c r="U15" s="1"/>
      <c r="V15" s="1"/>
      <c r="W15" s="1"/>
      <c r="X15" s="1"/>
      <c r="Y15" s="1"/>
      <c r="Z15" s="1"/>
    </row>
    <row r="16" spans="1:26">
      <c r="A16" s="1"/>
      <c r="B16" s="85" t="s">
        <v>544</v>
      </c>
      <c r="C16" s="1"/>
      <c r="D16" s="495" t="e">
        <f ca="1">IF(G9&lt;'10B-Downlink DVBS2(X) ModCOD'!H6, 10^((G9-'10B-Downlink DVBS2(X) ModCOD'!H6)/10)*'10B-Downlink DVBS2(X) ModCOD'!E6,INDEX('10B-Downlink DVBS2(X) ModCOD'!E6:'10B-Downlink DVBS2(X) ModCOD'!E72,MATCH(G9,'10B-Downlink DVBS2(X) ModCOD'!H6:'10B-Downlink DVBS2(X) ModCOD'!H72,1),1))</f>
        <v>#NAME?</v>
      </c>
      <c r="E16" s="496" t="s">
        <v>31</v>
      </c>
      <c r="F16" s="1"/>
      <c r="G16" s="1"/>
      <c r="H16" s="1"/>
      <c r="I16" s="1"/>
      <c r="J16" s="1"/>
      <c r="K16" s="1"/>
      <c r="L16" s="1"/>
      <c r="M16" s="1"/>
      <c r="N16" s="1"/>
      <c r="O16" s="1"/>
      <c r="P16" s="1"/>
      <c r="Q16" s="1"/>
      <c r="R16" s="1"/>
      <c r="S16" s="1"/>
      <c r="T16" s="1"/>
      <c r="U16" s="1"/>
      <c r="V16" s="1"/>
      <c r="W16" s="1"/>
      <c r="X16" s="1"/>
      <c r="Y16" s="1"/>
      <c r="Z16" s="1"/>
    </row>
    <row r="17" spans="1:26">
      <c r="A17" s="1"/>
      <c r="B17" s="1"/>
      <c r="C17" s="1"/>
      <c r="D17" s="1"/>
      <c r="E17" s="1"/>
      <c r="F17" s="1"/>
      <c r="G17" s="1"/>
      <c r="H17" s="1"/>
      <c r="I17" s="1"/>
      <c r="J17" s="85" t="s">
        <v>130</v>
      </c>
      <c r="K17" s="1"/>
      <c r="L17" s="86">
        <f>'9-Downlink Budget'!C40</f>
        <v>13.019947241434288</v>
      </c>
      <c r="M17" s="76" t="s">
        <v>52</v>
      </c>
      <c r="N17" s="1"/>
      <c r="O17" s="1"/>
      <c r="P17" s="1"/>
      <c r="Q17" s="1"/>
      <c r="R17" s="1"/>
      <c r="S17" s="1"/>
      <c r="T17" s="1"/>
      <c r="U17" s="1"/>
      <c r="V17" s="1"/>
      <c r="W17" s="1"/>
      <c r="X17" s="1"/>
      <c r="Y17" s="1"/>
      <c r="Z17" s="1"/>
    </row>
    <row r="18" spans="1:26">
      <c r="A18" s="1"/>
      <c r="B18" s="126" t="s">
        <v>345</v>
      </c>
      <c r="C18" s="1"/>
      <c r="D18" s="497" t="e">
        <f ca="1">IF(G9&lt;'10B-Downlink DVBS2(X) ModCOD'!H7, 10^((G9-'10B-Downlink DVBS2(X) ModCOD'!H7)/10)*'10B-Downlink DVBS2(X) ModCOD'!J7,INDEX('10B-Downlink DVBS2(X) ModCOD'!J7:'10B-Downlink DVBS2(X) ModCOD'!J74,MATCH(G9,'10B-Downlink DVBS2(X) ModCOD'!H7:'10B-Downlink DVBS2(X) ModCOD'!H74,1),1))</f>
        <v>#NAME?</v>
      </c>
      <c r="E18" s="496" t="s">
        <v>340</v>
      </c>
      <c r="F18" s="1"/>
      <c r="G18" s="69" t="s">
        <v>3</v>
      </c>
      <c r="H18" s="1"/>
      <c r="I18" s="1"/>
      <c r="J18" s="1"/>
      <c r="K18" s="1"/>
      <c r="L18" s="1"/>
      <c r="M18" s="1"/>
      <c r="N18" s="1"/>
      <c r="O18" s="1"/>
      <c r="P18" s="1"/>
      <c r="Q18" s="1"/>
      <c r="R18" s="1"/>
      <c r="S18" s="1"/>
      <c r="T18" s="1"/>
      <c r="U18" s="1"/>
      <c r="V18" s="1"/>
      <c r="W18" s="1"/>
      <c r="X18" s="1"/>
      <c r="Y18" s="1"/>
      <c r="Z18" s="1"/>
    </row>
    <row r="19" spans="1:26">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c r="A20" s="1"/>
      <c r="B20" s="1047" t="s">
        <v>134</v>
      </c>
      <c r="C20" s="1047"/>
      <c r="D20" s="1047"/>
      <c r="E20" s="1047"/>
      <c r="F20" s="1"/>
      <c r="G20" s="1"/>
      <c r="H20" s="1"/>
      <c r="I20" s="1"/>
      <c r="J20" s="1047" t="s">
        <v>211</v>
      </c>
      <c r="K20" s="1047"/>
      <c r="L20" s="1047"/>
      <c r="M20" s="1047"/>
      <c r="N20" s="1"/>
      <c r="O20" s="1"/>
      <c r="P20" s="1"/>
      <c r="Q20" s="1"/>
      <c r="R20" s="1"/>
      <c r="S20" s="1"/>
      <c r="T20" s="1"/>
      <c r="U20" s="1"/>
      <c r="V20" s="1"/>
      <c r="W20" s="1"/>
      <c r="X20" s="1"/>
      <c r="Y20" s="1"/>
      <c r="Z20" s="1"/>
    </row>
    <row r="21" spans="1:26">
      <c r="A21" s="1"/>
      <c r="B21" s="1"/>
      <c r="C21" s="1"/>
      <c r="D21" s="1056" t="s">
        <v>594</v>
      </c>
      <c r="E21" s="1057"/>
      <c r="F21" s="1"/>
      <c r="G21" s="1058" t="s">
        <v>543</v>
      </c>
      <c r="H21" s="1057"/>
      <c r="I21" s="1"/>
      <c r="J21" s="1055"/>
      <c r="K21" s="1055"/>
      <c r="L21" s="1055"/>
      <c r="M21" s="1055"/>
      <c r="N21" s="1"/>
      <c r="O21" s="1"/>
      <c r="P21" s="1"/>
      <c r="Q21" s="1"/>
      <c r="R21" s="1"/>
      <c r="S21" s="1"/>
      <c r="T21" s="1"/>
      <c r="U21" s="1"/>
      <c r="V21" s="1"/>
      <c r="W21" s="1"/>
      <c r="X21" s="1"/>
      <c r="Y21" s="1"/>
      <c r="Z21" s="1"/>
    </row>
    <row r="22" spans="1:26">
      <c r="A22" s="1"/>
      <c r="B22" s="85" t="s">
        <v>129</v>
      </c>
      <c r="C22" s="1"/>
      <c r="D22" s="929">
        <f>'6-SC TX &amp; RX Set-Up'!D9</f>
        <v>0.01</v>
      </c>
      <c r="E22" s="76" t="s">
        <v>28</v>
      </c>
      <c r="F22" s="1"/>
      <c r="G22" s="560">
        <f>'6-SC TX &amp; RX Set-Up'!J9</f>
        <v>1</v>
      </c>
      <c r="H22" s="76" t="s">
        <v>28</v>
      </c>
      <c r="I22" s="1"/>
      <c r="J22" s="85" t="s">
        <v>123</v>
      </c>
      <c r="K22" s="1"/>
      <c r="L22" s="86">
        <f>'8-Uplink Budget'!C27</f>
        <v>21.788020650825842</v>
      </c>
      <c r="M22" s="76" t="s">
        <v>49</v>
      </c>
      <c r="N22" s="1"/>
      <c r="O22" s="1"/>
      <c r="P22" s="1"/>
      <c r="Q22" s="1"/>
      <c r="R22" s="1"/>
      <c r="S22" s="1"/>
      <c r="T22" s="1"/>
      <c r="U22" s="1"/>
      <c r="V22" s="1"/>
      <c r="W22" s="1"/>
      <c r="X22" s="1"/>
      <c r="Y22" s="1"/>
      <c r="Z22" s="1"/>
    </row>
    <row r="23" spans="1:26">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c r="A24" s="1"/>
      <c r="B24" s="85" t="s">
        <v>182</v>
      </c>
      <c r="C24" s="1"/>
      <c r="D24" s="87">
        <f>'6-SC TX &amp; RX Set-Up'!J11</f>
        <v>1</v>
      </c>
      <c r="E24" s="152" t="s">
        <v>128</v>
      </c>
      <c r="F24" s="1"/>
      <c r="G24" s="1"/>
      <c r="H24" s="1"/>
      <c r="I24" s="1"/>
      <c r="J24" s="85" t="s">
        <v>124</v>
      </c>
      <c r="K24" s="1"/>
      <c r="L24" s="79">
        <f>'8-Uplink Budget'!C35</f>
        <v>-4.9420123994607792</v>
      </c>
      <c r="M24" s="76" t="s">
        <v>52</v>
      </c>
      <c r="N24" s="1"/>
      <c r="O24" s="1"/>
      <c r="P24" s="1"/>
      <c r="Q24" s="1"/>
      <c r="R24" s="1"/>
      <c r="S24" s="1"/>
      <c r="T24" s="1"/>
      <c r="U24" s="1"/>
      <c r="V24" s="1"/>
      <c r="W24" s="1"/>
      <c r="X24" s="1"/>
      <c r="Y24" s="1"/>
      <c r="Z24" s="1"/>
    </row>
    <row r="25" spans="1:26">
      <c r="A25" s="1"/>
      <c r="B25" s="1"/>
      <c r="C25" s="1"/>
      <c r="D25" s="147">
        <f>'6-SC TX &amp; RX Set-Up'!J15</f>
        <v>1</v>
      </c>
      <c r="E25" s="76" t="s">
        <v>497</v>
      </c>
      <c r="F25" s="1"/>
      <c r="G25" s="1"/>
      <c r="H25" s="1"/>
      <c r="I25" s="1"/>
      <c r="J25" s="1"/>
      <c r="K25" s="1"/>
      <c r="L25" s="1"/>
      <c r="M25" s="1"/>
      <c r="N25" s="1"/>
      <c r="O25" s="1"/>
      <c r="P25" s="1"/>
      <c r="Q25" s="1"/>
      <c r="R25" s="1"/>
      <c r="S25" s="1"/>
      <c r="T25" s="1"/>
      <c r="U25" s="1"/>
      <c r="V25" s="1"/>
      <c r="W25" s="1"/>
      <c r="X25" s="1"/>
      <c r="Y25" s="1"/>
      <c r="Z25" s="1"/>
    </row>
    <row r="26" spans="1:26">
      <c r="A26" s="1"/>
      <c r="B26" s="1"/>
      <c r="C26" s="1"/>
      <c r="D26" s="1"/>
      <c r="E26" s="1"/>
      <c r="F26" s="1"/>
      <c r="G26" s="1"/>
      <c r="H26" s="1"/>
      <c r="I26" s="1"/>
      <c r="J26" s="85" t="s">
        <v>125</v>
      </c>
      <c r="K26" s="1"/>
      <c r="L26" s="79">
        <f>'6-SC TX &amp; RX Set-Up'!D13</f>
        <v>10</v>
      </c>
      <c r="M26" s="76" t="s">
        <v>107</v>
      </c>
      <c r="N26" s="1"/>
      <c r="O26" s="1"/>
      <c r="P26" s="1"/>
      <c r="Q26" s="1"/>
      <c r="R26" s="1"/>
      <c r="S26" s="1"/>
      <c r="T26" s="1"/>
      <c r="U26" s="1"/>
      <c r="V26" s="1"/>
      <c r="W26" s="1"/>
      <c r="X26" s="1"/>
      <c r="Y26" s="1"/>
      <c r="Z26" s="1"/>
    </row>
    <row r="27" spans="1:26">
      <c r="A27" s="1"/>
      <c r="B27" s="85" t="s">
        <v>498</v>
      </c>
      <c r="C27" s="1"/>
      <c r="D27" s="72">
        <f>'6-SC TX &amp; RX Set-Up'!D21</f>
        <v>35.714285714285708</v>
      </c>
      <c r="E27" s="89" t="s">
        <v>107</v>
      </c>
      <c r="F27" s="1"/>
      <c r="G27" s="1"/>
      <c r="H27" s="1"/>
      <c r="I27" s="1"/>
      <c r="J27" s="1"/>
      <c r="K27" s="1"/>
      <c r="L27" s="1"/>
      <c r="M27" s="1"/>
      <c r="N27" s="1"/>
      <c r="O27" s="1"/>
      <c r="P27" s="1"/>
      <c r="Q27" s="1"/>
      <c r="R27" s="1"/>
      <c r="S27" s="1"/>
      <c r="T27" s="1"/>
      <c r="U27" s="1"/>
      <c r="V27" s="1"/>
      <c r="W27" s="1"/>
      <c r="X27" s="1"/>
      <c r="Y27" s="1"/>
      <c r="Z27" s="1"/>
    </row>
    <row r="28" spans="1:26">
      <c r="A28" s="1"/>
      <c r="B28" s="1"/>
      <c r="C28" s="1"/>
      <c r="D28" s="1"/>
      <c r="E28" s="1"/>
      <c r="F28" s="1"/>
      <c r="G28" s="1"/>
      <c r="H28" s="1"/>
      <c r="I28" s="1"/>
      <c r="J28" s="85" t="s">
        <v>126</v>
      </c>
      <c r="K28" s="1"/>
      <c r="L28" s="79">
        <f>'6-SC TX &amp; RX Set-Up'!J17</f>
        <v>10</v>
      </c>
      <c r="M28" s="76" t="s">
        <v>107</v>
      </c>
      <c r="N28" s="1"/>
      <c r="O28" s="1"/>
      <c r="P28" s="1"/>
      <c r="Q28" s="1"/>
      <c r="R28" s="1"/>
      <c r="S28" s="1"/>
      <c r="T28" s="1"/>
      <c r="U28" s="1"/>
      <c r="V28" s="1"/>
      <c r="W28" s="1"/>
      <c r="X28" s="1"/>
      <c r="Y28" s="1"/>
      <c r="Z28" s="1"/>
    </row>
    <row r="29" spans="1:26">
      <c r="A29" s="1"/>
      <c r="B29" s="126" t="s">
        <v>499</v>
      </c>
      <c r="C29" s="1"/>
      <c r="D29" s="72">
        <f>D27-'6-SC TX &amp; RX Set-Up'!D13</f>
        <v>25.714285714285708</v>
      </c>
      <c r="E29" s="89" t="s">
        <v>107</v>
      </c>
      <c r="F29" s="1"/>
      <c r="G29" s="1"/>
      <c r="H29" s="1"/>
      <c r="I29" s="1"/>
      <c r="J29" s="1"/>
      <c r="K29" s="1"/>
      <c r="L29" s="1"/>
      <c r="M29" s="1"/>
      <c r="N29" s="1"/>
      <c r="O29" s="1"/>
      <c r="P29" s="1"/>
      <c r="Q29" s="1"/>
      <c r="R29" s="1"/>
      <c r="S29" s="1"/>
      <c r="T29" s="1"/>
      <c r="U29" s="1"/>
      <c r="V29" s="1"/>
      <c r="W29" s="1"/>
      <c r="X29" s="1"/>
      <c r="Y29" s="1"/>
      <c r="Z29" s="1"/>
    </row>
    <row r="30" spans="1:26">
      <c r="A30" s="1"/>
      <c r="B30" s="1"/>
      <c r="C30" s="1"/>
      <c r="D30" s="1"/>
      <c r="E30" s="1"/>
      <c r="F30" s="1"/>
      <c r="G30" s="1"/>
      <c r="H30" s="1"/>
      <c r="I30" s="1"/>
      <c r="J30" s="85" t="s">
        <v>127</v>
      </c>
      <c r="K30" s="1"/>
      <c r="L30" s="86">
        <f>'9-Downlink Budget'!C13</f>
        <v>17.218614897305617</v>
      </c>
      <c r="M30" s="76" t="s">
        <v>49</v>
      </c>
      <c r="N30" s="1"/>
      <c r="O30" s="1"/>
      <c r="P30" s="1"/>
      <c r="Q30" s="1"/>
      <c r="R30" s="1"/>
      <c r="S30" s="1"/>
      <c r="T30" s="1"/>
      <c r="U30" s="1"/>
      <c r="V30" s="1"/>
      <c r="W30" s="1"/>
      <c r="X30" s="1"/>
      <c r="Y30" s="1"/>
      <c r="Z30" s="1"/>
    </row>
    <row r="31" spans="1:26">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c r="A32" s="1"/>
      <c r="B32" s="1047" t="s">
        <v>395</v>
      </c>
      <c r="C32" s="1047"/>
      <c r="D32" s="1047"/>
      <c r="E32" s="1047"/>
      <c r="F32" s="1"/>
      <c r="G32" s="1"/>
      <c r="H32" s="1"/>
      <c r="I32" s="1"/>
      <c r="J32" s="92" t="s">
        <v>139</v>
      </c>
      <c r="K32" s="1"/>
      <c r="L32" s="86">
        <f>10*LOG10(D24*L28)+'9-Downlink Budget'!C11+'9-Downlink Budget'!C12+'9-Downlink Budget'!C13</f>
        <v>26.818614897305618</v>
      </c>
      <c r="M32" s="93" t="s">
        <v>47</v>
      </c>
      <c r="N32" s="1"/>
      <c r="O32" s="1"/>
      <c r="P32" s="1"/>
      <c r="Q32" s="1"/>
      <c r="R32" s="1"/>
      <c r="S32" s="1"/>
      <c r="T32" s="1"/>
      <c r="U32" s="1"/>
      <c r="V32" s="1"/>
      <c r="W32" s="1"/>
      <c r="X32" s="1"/>
      <c r="Y32" s="1"/>
      <c r="Z32" s="1"/>
    </row>
    <row r="33" spans="1:26" ht="14" thickBot="1">
      <c r="A33" s="1"/>
      <c r="B33" s="1"/>
      <c r="C33" s="1"/>
      <c r="D33" s="1"/>
      <c r="E33" s="74" t="s">
        <v>410</v>
      </c>
      <c r="F33" s="1"/>
      <c r="G33" s="1"/>
      <c r="H33" s="1"/>
      <c r="I33" s="1"/>
      <c r="J33" s="1"/>
      <c r="K33" s="1"/>
      <c r="L33" s="1"/>
      <c r="M33" s="1"/>
      <c r="N33" s="1"/>
      <c r="O33" s="1"/>
      <c r="P33" s="1"/>
      <c r="Q33" s="1"/>
      <c r="R33" s="1"/>
      <c r="S33" s="1"/>
      <c r="T33" s="1"/>
      <c r="U33" s="1"/>
      <c r="V33" s="1"/>
      <c r="W33" s="1"/>
      <c r="X33" s="1"/>
      <c r="Y33" s="1"/>
      <c r="Z33" s="1"/>
    </row>
    <row r="34" spans="1:26" ht="14" thickBot="1">
      <c r="A34" s="1"/>
      <c r="B34" s="226" t="s">
        <v>501</v>
      </c>
      <c r="C34" s="1"/>
      <c r="D34" s="425" t="e">
        <f ca="1">-'8-Uplink Budget'!C22</f>
        <v>#NAME?</v>
      </c>
      <c r="E34" s="1"/>
      <c r="F34" s="1"/>
      <c r="G34" s="1"/>
      <c r="H34" s="1"/>
      <c r="I34" s="1"/>
      <c r="J34" s="92" t="s">
        <v>138</v>
      </c>
      <c r="K34" s="1"/>
      <c r="L34" s="86">
        <f>'9-Downlink Budget'!C14</f>
        <v>26.818614897305618</v>
      </c>
      <c r="M34" s="93" t="s">
        <v>47</v>
      </c>
      <c r="N34" s="1"/>
      <c r="O34" s="1"/>
      <c r="P34" s="1"/>
      <c r="Q34" s="1"/>
      <c r="R34" s="1"/>
      <c r="S34" s="1"/>
      <c r="T34" s="1"/>
      <c r="U34" s="1"/>
      <c r="V34" s="1"/>
      <c r="W34" s="1"/>
      <c r="X34" s="1"/>
      <c r="Y34" s="1"/>
      <c r="Z34" s="1"/>
    </row>
    <row r="35" spans="1:26" ht="14" thickBot="1">
      <c r="A35" s="1"/>
      <c r="B35" s="74" t="s">
        <v>409</v>
      </c>
      <c r="C35" s="1"/>
      <c r="D35" s="105" t="s">
        <v>407</v>
      </c>
      <c r="E35" s="1"/>
      <c r="F35" s="1"/>
      <c r="G35" s="1"/>
      <c r="H35" s="1"/>
      <c r="I35" s="1"/>
      <c r="J35" s="1"/>
      <c r="K35" s="1"/>
      <c r="L35" s="1"/>
      <c r="M35" s="1"/>
      <c r="N35" s="1"/>
      <c r="O35" s="1"/>
      <c r="P35" s="1"/>
      <c r="Q35" s="1"/>
      <c r="R35" s="1"/>
      <c r="S35" s="1"/>
      <c r="T35" s="1"/>
      <c r="U35" s="1"/>
      <c r="V35" s="1"/>
      <c r="W35" s="1"/>
      <c r="X35" s="1"/>
      <c r="Y35" s="1"/>
      <c r="Z35" s="1"/>
    </row>
    <row r="36" spans="1:26" ht="14" thickBot="1">
      <c r="A36" s="1"/>
      <c r="B36" s="74" t="s">
        <v>500</v>
      </c>
      <c r="C36" s="1"/>
      <c r="D36" s="116" t="s">
        <v>3</v>
      </c>
      <c r="E36" s="1"/>
      <c r="F36" s="210" t="e">
        <f ca="1">-'9-Downlink Budget'!C24</f>
        <v>#NAME?</v>
      </c>
      <c r="G36" s="1"/>
      <c r="H36" s="1"/>
      <c r="I36" s="1"/>
      <c r="J36" s="1"/>
      <c r="K36" s="1"/>
      <c r="L36" s="1"/>
      <c r="M36" s="1"/>
      <c r="N36" s="1"/>
      <c r="O36" s="1"/>
      <c r="P36" s="1"/>
      <c r="Q36" s="1"/>
      <c r="R36" s="1"/>
      <c r="S36" s="1"/>
      <c r="T36" s="1"/>
      <c r="U36" s="1"/>
      <c r="V36" s="1"/>
      <c r="W36" s="1"/>
      <c r="X36" s="1"/>
      <c r="Y36" s="1"/>
      <c r="Z36" s="1"/>
    </row>
    <row r="37" spans="1:26">
      <c r="A37" s="1"/>
      <c r="B37" s="1"/>
      <c r="C37" s="1"/>
      <c r="D37" s="1"/>
      <c r="E37" s="1"/>
      <c r="F37" s="105" t="s">
        <v>408</v>
      </c>
      <c r="G37" s="1"/>
      <c r="H37" s="1"/>
      <c r="I37" s="1"/>
      <c r="J37" s="1"/>
      <c r="K37" s="1"/>
      <c r="L37" s="1"/>
      <c r="M37" s="1"/>
      <c r="N37" s="1"/>
      <c r="O37" s="1"/>
      <c r="P37" s="1"/>
      <c r="Q37" s="1"/>
      <c r="R37" s="1"/>
      <c r="S37" s="1"/>
      <c r="T37" s="1"/>
      <c r="U37" s="1"/>
      <c r="V37" s="1"/>
      <c r="W37" s="1"/>
      <c r="X37" s="1"/>
      <c r="Y37" s="1"/>
      <c r="Z37" s="1"/>
    </row>
    <row r="38" spans="1:26">
      <c r="A38" s="1"/>
      <c r="B38" s="1"/>
      <c r="C38" s="1"/>
      <c r="D38" s="102" t="s">
        <v>3</v>
      </c>
      <c r="E38" s="1"/>
      <c r="F38" s="1"/>
      <c r="G38" s="1"/>
      <c r="H38" s="1"/>
      <c r="I38" s="1"/>
      <c r="J38" s="1"/>
      <c r="K38" s="1"/>
      <c r="L38" s="1"/>
      <c r="M38" s="1"/>
      <c r="N38" s="1"/>
      <c r="O38" s="1"/>
      <c r="P38" s="1"/>
      <c r="Q38" s="1"/>
      <c r="R38" s="1"/>
      <c r="S38" s="1"/>
      <c r="T38" s="1"/>
      <c r="U38" s="1"/>
      <c r="V38" s="1"/>
      <c r="W38" s="1"/>
      <c r="X38" s="1"/>
      <c r="Y38" s="1"/>
      <c r="Z38" s="1"/>
    </row>
    <row r="39" spans="1:26">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c r="A40" s="1"/>
      <c r="B40" s="1"/>
      <c r="C40" s="1"/>
      <c r="D40" s="1"/>
      <c r="E40" s="1"/>
      <c r="F40" s="1"/>
      <c r="G40" s="352" t="s">
        <v>140</v>
      </c>
      <c r="H40" s="1"/>
      <c r="I40" s="1"/>
      <c r="J40" s="1"/>
      <c r="K40" s="1"/>
      <c r="L40" s="1"/>
      <c r="M40" s="1"/>
      <c r="N40" s="1"/>
      <c r="O40" s="1"/>
      <c r="P40" s="1"/>
      <c r="Q40" s="1"/>
      <c r="R40" s="1"/>
      <c r="S40" s="1"/>
      <c r="T40" s="1"/>
      <c r="U40" s="1"/>
      <c r="V40" s="1"/>
      <c r="W40" s="1"/>
      <c r="X40" s="1"/>
      <c r="Y40" s="1"/>
      <c r="Z40" s="1"/>
    </row>
    <row r="41" spans="1:26">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c r="A45" s="1"/>
      <c r="B45" s="1"/>
      <c r="C45" s="1"/>
      <c r="D45" s="1"/>
      <c r="E45" s="1"/>
      <c r="F45" s="1"/>
      <c r="G45" s="1"/>
      <c r="H45" s="1"/>
      <c r="I45" s="1"/>
      <c r="J45" s="1"/>
      <c r="K45" s="1"/>
      <c r="L45" s="1"/>
      <c r="M45" s="1"/>
      <c r="N45" s="1"/>
      <c r="O45" s="1"/>
      <c r="P45" s="1"/>
      <c r="Q45" s="1"/>
      <c r="R45" s="1"/>
      <c r="S45" s="1"/>
      <c r="T45" s="1"/>
      <c r="U45" s="1"/>
      <c r="V45" s="1"/>
      <c r="W45" s="1"/>
      <c r="X45" s="1"/>
      <c r="Y45" s="1"/>
    </row>
    <row r="46" spans="1:26" ht="18">
      <c r="A46" s="1"/>
      <c r="B46" s="1"/>
      <c r="C46" s="1"/>
      <c r="D46" s="1"/>
      <c r="E46" s="1"/>
      <c r="F46" s="1"/>
      <c r="G46" s="1"/>
      <c r="H46" s="1"/>
      <c r="I46" s="480"/>
      <c r="J46" s="1"/>
      <c r="K46" s="1"/>
      <c r="L46" s="1"/>
      <c r="M46" s="1"/>
      <c r="N46" s="1"/>
      <c r="O46" s="1"/>
      <c r="P46" s="1"/>
      <c r="Q46" s="1"/>
      <c r="R46" s="1"/>
      <c r="S46" s="1"/>
      <c r="T46" s="1"/>
      <c r="U46" s="1"/>
      <c r="V46" s="1"/>
      <c r="W46" s="1"/>
      <c r="X46" s="1"/>
      <c r="Y46" s="1"/>
      <c r="Z46" s="1"/>
    </row>
    <row r="47" spans="1:26" ht="18">
      <c r="A47" s="1"/>
      <c r="B47" s="1"/>
      <c r="C47" s="1"/>
      <c r="D47" s="1"/>
      <c r="E47" s="1"/>
      <c r="F47" s="1"/>
      <c r="G47" s="1"/>
      <c r="H47" s="1"/>
      <c r="I47" s="105"/>
      <c r="J47" s="480"/>
      <c r="K47" s="1"/>
      <c r="L47" s="1"/>
      <c r="M47" s="1"/>
      <c r="N47" s="1"/>
      <c r="O47" s="1"/>
      <c r="P47" s="1"/>
      <c r="Q47" s="1"/>
      <c r="R47" s="1"/>
      <c r="S47" s="1"/>
      <c r="T47" s="1"/>
      <c r="U47" s="1"/>
      <c r="V47" s="1"/>
      <c r="W47" s="1"/>
      <c r="X47" s="1"/>
      <c r="Y47" s="1"/>
      <c r="Z47" s="1"/>
    </row>
    <row r="48" spans="1:26" ht="18">
      <c r="A48" s="1"/>
      <c r="B48" s="1"/>
      <c r="C48" s="1"/>
      <c r="D48" s="1"/>
      <c r="E48" s="1"/>
      <c r="F48" s="1"/>
      <c r="G48" s="1"/>
      <c r="H48" s="480"/>
      <c r="I48" s="108"/>
      <c r="J48" s="105"/>
      <c r="K48" s="1"/>
      <c r="L48" s="1"/>
      <c r="M48" s="1"/>
      <c r="N48" s="1"/>
      <c r="O48" s="1"/>
      <c r="P48" s="1"/>
      <c r="Q48" s="1"/>
      <c r="R48" s="1"/>
      <c r="S48" s="1"/>
      <c r="T48" s="1"/>
      <c r="U48" s="1"/>
      <c r="V48" s="1"/>
      <c r="W48" s="1"/>
      <c r="X48" s="1"/>
      <c r="Y48" s="1"/>
      <c r="Z48" s="1"/>
    </row>
    <row r="49" spans="1:26">
      <c r="A49" s="1"/>
      <c r="B49" s="1"/>
      <c r="C49" s="1"/>
      <c r="D49" s="1"/>
      <c r="E49" s="1"/>
      <c r="F49" s="1"/>
      <c r="G49" s="151"/>
      <c r="H49" s="105"/>
      <c r="I49" s="74"/>
      <c r="J49" s="108"/>
      <c r="K49" s="1"/>
      <c r="L49" s="1"/>
      <c r="M49" s="1"/>
      <c r="N49" s="1"/>
      <c r="O49" s="1"/>
      <c r="P49" s="1"/>
      <c r="Q49" s="1"/>
      <c r="R49" s="1"/>
      <c r="S49" s="1"/>
      <c r="T49" s="1"/>
      <c r="U49" s="1"/>
      <c r="V49" s="1"/>
      <c r="W49" s="1"/>
      <c r="X49" s="1"/>
      <c r="Y49" s="1"/>
      <c r="Z49" s="1"/>
    </row>
    <row r="50" spans="1:26">
      <c r="A50" s="1"/>
      <c r="B50" s="1"/>
      <c r="C50" s="1"/>
      <c r="D50" s="1"/>
      <c r="E50" s="1"/>
      <c r="F50" s="1"/>
      <c r="G50" s="1"/>
      <c r="H50" s="108"/>
      <c r="I50" s="74"/>
      <c r="J50" s="74"/>
      <c r="K50" s="1"/>
      <c r="L50" s="1"/>
      <c r="M50" s="1"/>
      <c r="N50" s="1"/>
      <c r="O50" s="1"/>
      <c r="P50" s="1"/>
      <c r="Q50" s="1"/>
      <c r="R50" s="1"/>
      <c r="S50" s="1"/>
      <c r="T50" s="1"/>
      <c r="U50" s="1"/>
      <c r="V50" s="1"/>
      <c r="W50" s="1"/>
      <c r="X50" s="1"/>
      <c r="Y50" s="1"/>
      <c r="Z50" s="1"/>
    </row>
    <row r="51" spans="1:26">
      <c r="A51" s="1"/>
      <c r="B51" s="1"/>
      <c r="C51" s="1"/>
      <c r="D51" s="1"/>
      <c r="E51" s="1"/>
      <c r="F51" s="1"/>
      <c r="G51" s="1"/>
      <c r="H51" s="74"/>
      <c r="I51" s="74"/>
      <c r="J51" s="74"/>
      <c r="K51" s="1"/>
      <c r="L51" s="1"/>
      <c r="M51" s="1"/>
      <c r="N51" s="1"/>
      <c r="O51" s="1"/>
      <c r="P51" s="1"/>
      <c r="Q51" s="1"/>
      <c r="R51" s="1"/>
      <c r="S51" s="1"/>
      <c r="T51" s="1"/>
      <c r="U51" s="1"/>
      <c r="V51" s="1"/>
      <c r="W51" s="1"/>
      <c r="X51" s="1"/>
      <c r="Y51" s="1"/>
      <c r="Z51" s="1"/>
    </row>
    <row r="52" spans="1:26">
      <c r="A52" s="1"/>
      <c r="B52" s="1"/>
      <c r="C52" s="1"/>
      <c r="D52" s="1"/>
      <c r="E52" s="1"/>
      <c r="F52" s="1"/>
      <c r="G52" s="1"/>
      <c r="H52" s="74"/>
      <c r="I52" s="74"/>
      <c r="J52" s="74"/>
      <c r="K52" s="1"/>
      <c r="L52" s="1"/>
      <c r="M52" s="1"/>
      <c r="N52" s="1"/>
      <c r="O52" s="1"/>
      <c r="P52" s="1"/>
      <c r="Q52" s="1"/>
      <c r="R52" s="1"/>
      <c r="S52" s="1"/>
      <c r="T52" s="1"/>
      <c r="U52" s="1"/>
      <c r="V52" s="1"/>
      <c r="W52" s="1"/>
      <c r="X52" s="1"/>
      <c r="Y52" s="1"/>
      <c r="Z52" s="1"/>
    </row>
    <row r="53" spans="1:26">
      <c r="A53" s="1"/>
      <c r="B53" s="1"/>
      <c r="C53" s="1"/>
      <c r="D53" s="1"/>
      <c r="E53" s="1"/>
      <c r="F53" s="1"/>
      <c r="G53" s="1"/>
      <c r="H53" s="74"/>
      <c r="I53" s="74"/>
      <c r="J53" s="74"/>
      <c r="K53" s="1"/>
      <c r="L53" s="1"/>
      <c r="M53" s="1"/>
      <c r="N53" s="1"/>
      <c r="O53" s="1"/>
      <c r="P53" s="1"/>
      <c r="Q53" s="1"/>
      <c r="R53" s="1"/>
      <c r="S53" s="1"/>
      <c r="T53" s="1"/>
      <c r="U53" s="1"/>
      <c r="V53" s="1"/>
      <c r="W53" s="1"/>
      <c r="X53" s="1"/>
      <c r="Y53" s="1"/>
      <c r="Z53" s="1"/>
    </row>
    <row r="54" spans="1:26">
      <c r="A54" s="1"/>
      <c r="B54" s="1"/>
      <c r="C54" s="1"/>
      <c r="D54" s="1"/>
      <c r="E54" s="1"/>
      <c r="F54" s="1"/>
      <c r="G54" s="1"/>
      <c r="H54" s="74"/>
      <c r="I54" s="74"/>
      <c r="J54" s="74"/>
      <c r="K54" s="1"/>
      <c r="L54" s="1"/>
      <c r="M54" s="1"/>
      <c r="N54" s="1"/>
      <c r="O54" s="1"/>
      <c r="P54" s="1"/>
      <c r="Q54" s="1"/>
      <c r="R54" s="1"/>
      <c r="S54" s="1"/>
      <c r="T54" s="1"/>
      <c r="U54" s="1"/>
      <c r="V54" s="1"/>
      <c r="W54" s="1"/>
      <c r="X54" s="1"/>
      <c r="Y54" s="1"/>
      <c r="Z54" s="1"/>
    </row>
    <row r="55" spans="1:26">
      <c r="A55" s="1"/>
      <c r="B55" s="1"/>
      <c r="C55" s="1"/>
      <c r="D55" s="1"/>
      <c r="E55" s="1"/>
      <c r="F55" s="1"/>
      <c r="G55" s="1"/>
      <c r="H55" s="74"/>
      <c r="I55" s="74"/>
      <c r="J55" s="74"/>
      <c r="K55" s="1"/>
      <c r="L55" s="1"/>
      <c r="M55" s="1"/>
      <c r="N55" s="1"/>
      <c r="O55" s="1"/>
      <c r="P55" s="1"/>
      <c r="Q55" s="1"/>
      <c r="R55" s="1"/>
      <c r="S55" s="1"/>
      <c r="T55" s="1"/>
      <c r="U55" s="1"/>
      <c r="V55" s="1"/>
      <c r="W55" s="1"/>
      <c r="X55" s="1"/>
      <c r="Y55" s="1"/>
      <c r="Z55" s="1"/>
    </row>
    <row r="56" spans="1:26">
      <c r="A56" s="1"/>
      <c r="B56" s="1"/>
      <c r="C56" s="1"/>
      <c r="D56" s="1"/>
      <c r="E56" s="1"/>
      <c r="F56" s="1"/>
      <c r="G56" s="1"/>
      <c r="H56" s="74"/>
      <c r="I56" s="74"/>
      <c r="J56" s="74"/>
      <c r="K56" s="1"/>
      <c r="L56" s="1"/>
      <c r="M56" s="1"/>
      <c r="N56" s="1"/>
      <c r="O56" s="1"/>
      <c r="P56" s="1"/>
      <c r="Q56" s="1"/>
      <c r="R56" s="1"/>
      <c r="S56" s="1"/>
      <c r="T56" s="1"/>
      <c r="U56" s="1"/>
      <c r="V56" s="1"/>
      <c r="W56" s="1"/>
      <c r="X56" s="1"/>
      <c r="Y56" s="1"/>
      <c r="Z56" s="1"/>
    </row>
    <row r="57" spans="1:26">
      <c r="A57" s="1"/>
      <c r="B57" s="1"/>
      <c r="C57" s="1"/>
      <c r="D57" s="1"/>
      <c r="E57" s="1"/>
      <c r="F57" s="1"/>
      <c r="G57" s="1"/>
      <c r="H57" s="74"/>
      <c r="I57" s="74"/>
      <c r="J57" s="74"/>
      <c r="K57" s="1"/>
      <c r="L57" s="1"/>
      <c r="M57" s="1"/>
      <c r="N57" s="1"/>
      <c r="O57" s="1"/>
      <c r="P57" s="1"/>
      <c r="Q57" s="1"/>
      <c r="R57" s="1"/>
      <c r="S57" s="1"/>
      <c r="T57" s="1"/>
      <c r="U57" s="1"/>
      <c r="V57" s="1"/>
      <c r="W57" s="1"/>
      <c r="X57" s="1"/>
      <c r="Y57" s="1"/>
      <c r="Z57" s="1"/>
    </row>
    <row r="58" spans="1:26">
      <c r="A58" s="1"/>
      <c r="B58" s="1"/>
      <c r="C58" s="1"/>
      <c r="D58" s="1"/>
      <c r="E58" s="1"/>
      <c r="F58" s="1"/>
      <c r="G58" s="1"/>
      <c r="H58" s="74"/>
      <c r="I58" s="74"/>
      <c r="J58" s="348"/>
      <c r="K58" s="1"/>
      <c r="L58" s="1"/>
      <c r="M58" s="1"/>
      <c r="N58" s="1"/>
      <c r="O58" s="1"/>
      <c r="P58" s="1"/>
      <c r="Q58" s="1"/>
      <c r="R58" s="1"/>
      <c r="S58" s="1"/>
      <c r="T58" s="1"/>
      <c r="U58" s="1"/>
      <c r="V58" s="1"/>
      <c r="W58" s="1"/>
      <c r="X58" s="1"/>
      <c r="Y58" s="1"/>
      <c r="Z58" s="1"/>
    </row>
    <row r="59" spans="1:26">
      <c r="A59" s="1"/>
      <c r="B59" s="1"/>
      <c r="C59" s="1"/>
      <c r="D59" s="1"/>
      <c r="E59" s="1"/>
      <c r="F59" s="1"/>
      <c r="G59" s="1"/>
      <c r="H59" s="74"/>
      <c r="I59" s="74"/>
      <c r="J59" s="74"/>
      <c r="K59" s="1"/>
      <c r="L59" s="1"/>
      <c r="M59" s="1"/>
      <c r="N59" s="1"/>
      <c r="O59" s="1"/>
      <c r="P59" s="1"/>
      <c r="Q59" s="1"/>
      <c r="R59" s="1"/>
      <c r="S59" s="1"/>
      <c r="T59" s="1"/>
      <c r="U59" s="1"/>
      <c r="V59" s="1"/>
      <c r="W59" s="1"/>
      <c r="X59" s="1"/>
      <c r="Y59" s="1"/>
      <c r="Z59" s="1"/>
    </row>
    <row r="60" spans="1:26">
      <c r="A60" s="1"/>
      <c r="B60" s="1"/>
      <c r="C60" s="1"/>
      <c r="D60" s="1"/>
      <c r="E60" s="1"/>
      <c r="F60" s="1"/>
      <c r="G60" s="1"/>
      <c r="H60" s="74"/>
      <c r="I60" s="74"/>
      <c r="J60" s="74"/>
      <c r="K60" s="1"/>
      <c r="L60" s="1"/>
      <c r="M60" s="1"/>
      <c r="N60" s="1"/>
      <c r="O60" s="1"/>
      <c r="P60" s="1"/>
      <c r="Q60" s="1"/>
      <c r="R60" s="1"/>
      <c r="S60" s="1"/>
      <c r="T60" s="1"/>
      <c r="U60" s="1"/>
      <c r="V60" s="1"/>
      <c r="W60" s="1"/>
      <c r="X60" s="1"/>
      <c r="Y60" s="1"/>
      <c r="Z60" s="1"/>
    </row>
    <row r="61" spans="1:26">
      <c r="A61" s="1"/>
      <c r="B61" s="1"/>
      <c r="C61" s="1"/>
      <c r="D61" s="1"/>
      <c r="E61" s="1"/>
      <c r="F61" s="1"/>
      <c r="G61" s="1"/>
      <c r="H61" s="74"/>
      <c r="I61" s="74"/>
      <c r="J61" s="74"/>
      <c r="K61" s="1"/>
      <c r="L61" s="1"/>
      <c r="M61" s="1"/>
      <c r="N61" s="1"/>
      <c r="O61" s="1"/>
      <c r="P61" s="1"/>
      <c r="Q61" s="1"/>
      <c r="R61" s="1"/>
      <c r="S61" s="1"/>
      <c r="T61" s="1"/>
      <c r="U61" s="1"/>
      <c r="V61" s="1"/>
      <c r="W61" s="1"/>
      <c r="X61" s="1"/>
      <c r="Y61" s="1"/>
      <c r="Z61" s="1"/>
    </row>
    <row r="62" spans="1:26">
      <c r="A62" s="1"/>
      <c r="B62" s="1"/>
      <c r="C62" s="1"/>
      <c r="D62" s="1"/>
      <c r="E62" s="1"/>
      <c r="F62" s="1"/>
      <c r="G62" s="1"/>
      <c r="H62" s="74"/>
      <c r="I62" s="74"/>
      <c r="J62" s="74"/>
      <c r="K62" s="1"/>
      <c r="L62" s="1"/>
      <c r="M62" s="1"/>
      <c r="N62" s="1"/>
      <c r="O62" s="1"/>
      <c r="P62" s="1"/>
      <c r="Q62" s="1"/>
      <c r="R62" s="1"/>
      <c r="S62" s="1"/>
      <c r="T62" s="1"/>
      <c r="U62" s="1"/>
      <c r="V62" s="1"/>
      <c r="W62" s="1"/>
      <c r="X62" s="1"/>
      <c r="Y62" s="1"/>
      <c r="Z62" s="1"/>
    </row>
    <row r="63" spans="1:26">
      <c r="A63" s="1"/>
      <c r="B63" s="1"/>
      <c r="C63" s="1"/>
      <c r="D63" s="1"/>
      <c r="E63" s="1"/>
      <c r="F63" s="1"/>
      <c r="G63" s="1"/>
      <c r="H63" s="74"/>
      <c r="I63" s="74"/>
      <c r="J63" s="74"/>
      <c r="K63" s="1"/>
      <c r="L63" s="1"/>
      <c r="M63" s="1"/>
      <c r="N63" s="1"/>
      <c r="O63" s="1"/>
      <c r="P63" s="1"/>
      <c r="Q63" s="1"/>
      <c r="R63" s="1"/>
      <c r="S63" s="1"/>
      <c r="T63" s="1"/>
      <c r="U63" s="1"/>
      <c r="V63" s="1"/>
      <c r="W63" s="1"/>
      <c r="X63" s="1"/>
      <c r="Y63" s="1"/>
      <c r="Z63" s="1"/>
    </row>
    <row r="64" spans="1:26">
      <c r="A64" s="1"/>
      <c r="B64" s="1"/>
      <c r="C64" s="1"/>
      <c r="D64" s="1"/>
      <c r="E64" s="1"/>
      <c r="F64" s="1"/>
      <c r="G64" s="1"/>
      <c r="H64" s="74"/>
      <c r="I64" s="74"/>
      <c r="J64" s="74"/>
      <c r="K64" s="1"/>
      <c r="L64" s="1"/>
      <c r="M64" s="1"/>
      <c r="N64" s="1"/>
      <c r="O64" s="1"/>
      <c r="P64" s="1"/>
      <c r="Q64" s="1"/>
      <c r="R64" s="1"/>
      <c r="S64" s="1"/>
      <c r="T64" s="1"/>
      <c r="U64" s="1"/>
      <c r="V64" s="1"/>
      <c r="W64" s="1"/>
      <c r="X64" s="1"/>
      <c r="Y64" s="1"/>
      <c r="Z64" s="1"/>
    </row>
    <row r="65" spans="1:26">
      <c r="A65" s="1"/>
      <c r="B65" s="1"/>
      <c r="C65" s="1"/>
      <c r="D65" s="1"/>
      <c r="E65" s="1"/>
      <c r="F65" s="1"/>
      <c r="G65" s="151"/>
      <c r="H65" s="74"/>
      <c r="I65" s="74"/>
      <c r="J65" s="74"/>
      <c r="K65" s="1"/>
      <c r="L65" s="1"/>
      <c r="M65" s="1"/>
      <c r="N65" s="1"/>
      <c r="O65" s="1"/>
      <c r="P65" s="1"/>
      <c r="Q65" s="1"/>
      <c r="R65" s="1"/>
      <c r="S65" s="1"/>
      <c r="T65" s="1"/>
      <c r="U65" s="1"/>
      <c r="V65" s="1"/>
      <c r="W65" s="1"/>
      <c r="X65" s="1"/>
      <c r="Y65" s="1"/>
      <c r="Z65" s="1"/>
    </row>
    <row r="66" spans="1:26">
      <c r="A66" s="1"/>
      <c r="B66" s="1"/>
      <c r="C66" s="1"/>
      <c r="D66" s="1"/>
      <c r="E66" s="1"/>
      <c r="F66" s="1"/>
      <c r="G66" s="1"/>
      <c r="H66" s="74"/>
      <c r="I66" s="1"/>
      <c r="J66" s="348"/>
      <c r="K66" s="1"/>
      <c r="L66" s="1"/>
      <c r="M66" s="1"/>
      <c r="N66" s="1"/>
      <c r="O66" s="1"/>
      <c r="P66" s="1"/>
      <c r="Q66" s="1"/>
      <c r="R66" s="1"/>
      <c r="S66" s="1"/>
      <c r="T66" s="1"/>
      <c r="U66" s="1"/>
      <c r="V66" s="1"/>
      <c r="W66" s="1"/>
      <c r="X66" s="1"/>
      <c r="Y66" s="1"/>
      <c r="Z66" s="1"/>
    </row>
    <row r="67" spans="1:26">
      <c r="A67" s="1"/>
      <c r="B67" s="1"/>
      <c r="C67" s="1"/>
      <c r="D67" s="1"/>
      <c r="E67" s="1"/>
      <c r="F67" s="1"/>
      <c r="G67" s="1"/>
      <c r="H67" s="349"/>
      <c r="I67" s="1"/>
      <c r="J67" s="1"/>
      <c r="K67" s="1"/>
      <c r="L67" s="1"/>
      <c r="M67" s="1"/>
      <c r="N67" s="1"/>
      <c r="O67" s="1"/>
      <c r="P67" s="1"/>
      <c r="Q67" s="1"/>
      <c r="R67" s="1"/>
      <c r="S67" s="1"/>
      <c r="T67" s="1"/>
      <c r="U67" s="1"/>
      <c r="V67" s="1"/>
      <c r="W67" s="1"/>
      <c r="X67" s="1"/>
      <c r="Y67" s="1"/>
      <c r="Z67" s="1"/>
    </row>
    <row r="68" spans="1:26">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c r="A94" s="1"/>
      <c r="F94" s="1"/>
      <c r="G94" s="1"/>
      <c r="H94" s="1"/>
      <c r="I94" s="1"/>
      <c r="J94" s="1"/>
      <c r="K94" s="1"/>
      <c r="L94" s="1"/>
      <c r="M94" s="1"/>
      <c r="N94" s="1"/>
      <c r="O94" s="1"/>
      <c r="P94" s="1"/>
      <c r="Q94" s="1"/>
      <c r="R94" s="1"/>
      <c r="S94" s="1"/>
      <c r="T94" s="1"/>
      <c r="U94" s="1"/>
      <c r="V94" s="1"/>
      <c r="W94" s="1"/>
      <c r="X94" s="1"/>
      <c r="Y94" s="1"/>
      <c r="Z94" s="1"/>
    </row>
    <row r="95" spans="1:26">
      <c r="A95" s="1"/>
      <c r="F95" s="1"/>
      <c r="G95" s="1"/>
      <c r="H95" s="1"/>
      <c r="I95" s="1"/>
      <c r="J95" s="1"/>
      <c r="K95" s="1"/>
      <c r="L95" s="1"/>
      <c r="M95" s="1"/>
      <c r="N95" s="1"/>
      <c r="O95" s="1"/>
      <c r="P95" s="1"/>
      <c r="Q95" s="1"/>
      <c r="R95" s="1"/>
      <c r="S95" s="1"/>
      <c r="T95" s="1"/>
      <c r="U95" s="1"/>
      <c r="V95" s="1"/>
      <c r="W95" s="1"/>
      <c r="X95" s="1"/>
      <c r="Y95" s="1"/>
      <c r="Z95" s="1"/>
    </row>
    <row r="96" spans="1:26">
      <c r="A96" s="1"/>
      <c r="F96" s="1"/>
      <c r="G96" s="1"/>
      <c r="H96" s="1"/>
      <c r="I96" s="1"/>
      <c r="J96" s="1"/>
      <c r="K96" s="1"/>
      <c r="L96" s="1"/>
      <c r="M96" s="1"/>
      <c r="N96" s="1"/>
      <c r="O96" s="1"/>
      <c r="P96" s="1"/>
      <c r="Q96" s="1"/>
      <c r="R96" s="1"/>
      <c r="S96" s="1"/>
      <c r="T96" s="1"/>
      <c r="U96" s="1"/>
      <c r="V96" s="1"/>
      <c r="W96" s="1"/>
      <c r="X96" s="1"/>
      <c r="Y96" s="1"/>
      <c r="Z96" s="1"/>
    </row>
    <row r="97" spans="1:26">
      <c r="A97" s="1"/>
      <c r="F97" s="1"/>
      <c r="G97" s="1"/>
      <c r="H97" s="1"/>
      <c r="I97" s="1"/>
      <c r="J97" s="1"/>
      <c r="K97" s="1"/>
      <c r="L97" s="1"/>
      <c r="M97" s="1"/>
      <c r="N97" s="1"/>
      <c r="O97" s="1"/>
      <c r="P97" s="1"/>
      <c r="Q97" s="1"/>
      <c r="R97" s="1"/>
      <c r="S97" s="1"/>
      <c r="T97" s="1"/>
      <c r="U97" s="1"/>
      <c r="V97" s="1"/>
      <c r="W97" s="1"/>
      <c r="X97" s="1"/>
      <c r="Y97" s="1"/>
      <c r="Z97" s="1"/>
    </row>
    <row r="98" spans="1:26">
      <c r="A98" s="1"/>
      <c r="F98" s="1"/>
      <c r="G98" s="1"/>
      <c r="H98" s="1"/>
      <c r="I98" s="1"/>
      <c r="J98" s="1"/>
      <c r="K98" s="1"/>
      <c r="L98" s="1"/>
      <c r="M98" s="1"/>
      <c r="N98" s="1"/>
      <c r="O98" s="1"/>
      <c r="P98" s="1"/>
      <c r="Q98" s="1"/>
      <c r="R98" s="1"/>
      <c r="S98" s="1"/>
      <c r="T98" s="1"/>
      <c r="U98" s="1"/>
      <c r="V98" s="1"/>
      <c r="W98" s="1"/>
      <c r="X98" s="1"/>
      <c r="Y98" s="1"/>
      <c r="Z98" s="1"/>
    </row>
    <row r="99" spans="1:26">
      <c r="A99" s="1"/>
      <c r="F99" s="1"/>
      <c r="G99" s="1"/>
      <c r="H99" s="1"/>
      <c r="I99" s="1"/>
      <c r="J99" s="1"/>
      <c r="K99" s="1"/>
      <c r="L99" s="1"/>
      <c r="M99" s="1"/>
      <c r="N99" s="1"/>
      <c r="O99" s="1"/>
      <c r="P99" s="1"/>
      <c r="Q99" s="1"/>
      <c r="R99" s="1"/>
      <c r="S99" s="1"/>
      <c r="T99" s="1"/>
      <c r="U99" s="1"/>
      <c r="V99" s="1"/>
      <c r="W99" s="1"/>
      <c r="X99" s="1"/>
      <c r="Y99" s="1"/>
      <c r="Z99" s="1"/>
    </row>
    <row r="100" spans="1:26">
      <c r="H100" s="1"/>
      <c r="J100" s="1"/>
      <c r="K100" s="1"/>
      <c r="L100" s="1"/>
      <c r="M100" s="1"/>
    </row>
    <row r="101" spans="1:26">
      <c r="H101" s="1"/>
    </row>
  </sheetData>
  <mergeCells count="15">
    <mergeCell ref="B20:E20"/>
    <mergeCell ref="J21:M21"/>
    <mergeCell ref="J20:M20"/>
    <mergeCell ref="B32:E32"/>
    <mergeCell ref="D21:E21"/>
    <mergeCell ref="G21:H21"/>
    <mergeCell ref="J2:M2"/>
    <mergeCell ref="J10:M10"/>
    <mergeCell ref="D15:E15"/>
    <mergeCell ref="B3:E3"/>
    <mergeCell ref="D6:E6"/>
    <mergeCell ref="D8:E8"/>
    <mergeCell ref="D10:E10"/>
    <mergeCell ref="D5:H5"/>
    <mergeCell ref="D14:E14"/>
  </mergeCells>
  <phoneticPr fontId="0" type="noConversion"/>
  <pageMargins left="0.7" right="0.7" top="0.75" bottom="0.75" header="0.3" footer="0.3"/>
  <pageSetup orientation="portrait" horizontalDpi="1200" verticalDpi="1200"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7030A0"/>
  </sheetPr>
  <dimension ref="A1:AJ35"/>
  <sheetViews>
    <sheetView showGridLines="0" zoomScale="90" zoomScaleNormal="90" workbookViewId="0">
      <selection activeCell="Q33" sqref="Q33"/>
    </sheetView>
  </sheetViews>
  <sheetFormatPr baseColWidth="10" defaultColWidth="8.83203125" defaultRowHeight="13"/>
  <cols>
    <col min="5" max="5" width="12.33203125" customWidth="1"/>
    <col min="7" max="7" width="11.5" customWidth="1"/>
    <col min="8" max="8" width="11.33203125" customWidth="1"/>
    <col min="12" max="12" width="11.5" customWidth="1"/>
    <col min="14" max="16" width="16.1640625" customWidth="1"/>
    <col min="17" max="17" width="18.5" customWidth="1"/>
    <col min="19" max="19" width="12.33203125" customWidth="1"/>
    <col min="20" max="20" width="11.6640625" customWidth="1"/>
    <col min="23" max="23" width="10.6640625" customWidth="1"/>
    <col min="24" max="24" width="10" customWidth="1"/>
    <col min="27" max="27" width="10.83203125" customWidth="1"/>
    <col min="28" max="28" width="10.6640625" customWidth="1"/>
    <col min="29" max="29" width="12" customWidth="1"/>
    <col min="30" max="31" width="10.33203125" bestFit="1" customWidth="1"/>
    <col min="32" max="32" width="11" customWidth="1"/>
    <col min="33" max="33" width="16.33203125" customWidth="1"/>
    <col min="34" max="34" width="13.1640625" customWidth="1"/>
    <col min="35" max="35" width="10.5" customWidth="1"/>
    <col min="36" max="36" width="19.33203125" customWidth="1"/>
  </cols>
  <sheetData>
    <row r="1" spans="1:36" ht="21" thickBot="1">
      <c r="A1" s="1065" t="str">
        <f>'1-Title Page'!F3</f>
        <v>mmW Digital Transponder -  Data Link Using DVB S2(X)</v>
      </c>
      <c r="B1" s="1066"/>
      <c r="C1" s="1066"/>
      <c r="D1" s="1066"/>
      <c r="E1" s="1066"/>
      <c r="F1" s="1066"/>
      <c r="G1" s="1066"/>
      <c r="H1" s="1066"/>
      <c r="I1" s="1067"/>
    </row>
    <row r="2" spans="1:36" ht="19" thickBot="1">
      <c r="A2" s="1076" t="s">
        <v>200</v>
      </c>
      <c r="B2" s="1077"/>
      <c r="C2" s="1077"/>
      <c r="D2" s="1077"/>
      <c r="E2" s="1077"/>
      <c r="F2" s="1077"/>
      <c r="G2" s="1077"/>
      <c r="H2" s="1077"/>
      <c r="I2" s="1078"/>
      <c r="K2" s="230" t="s">
        <v>140</v>
      </c>
    </row>
    <row r="3" spans="1:36" ht="19" thickBot="1">
      <c r="A3" s="1068" t="s">
        <v>588</v>
      </c>
      <c r="B3" s="1069"/>
      <c r="C3" s="1069"/>
      <c r="D3" s="1069"/>
      <c r="E3" s="1069"/>
      <c r="F3" s="1069"/>
      <c r="G3" s="1069"/>
      <c r="H3" s="1069"/>
      <c r="I3" s="1070"/>
    </row>
    <row r="4" spans="1:36" ht="14" thickBot="1">
      <c r="A4" s="257" t="str">
        <f>'1-Title Page'!A4</f>
        <v>Developed by:  Jan A. King, W3GEY/VK4GEY and  Brian R. Jones</v>
      </c>
      <c r="B4" s="258"/>
      <c r="C4" s="258"/>
      <c r="D4" s="259"/>
      <c r="E4" s="260"/>
      <c r="F4" s="261"/>
      <c r="G4" s="261"/>
      <c r="H4" s="258" t="str">
        <f>'1-Title Page'!G1</f>
        <v xml:space="preserve"> Version: 7.0.3</v>
      </c>
      <c r="I4" s="262"/>
    </row>
    <row r="5" spans="1:36" ht="16">
      <c r="A5" s="933" t="s">
        <v>658</v>
      </c>
      <c r="C5" t="s">
        <v>3</v>
      </c>
      <c r="N5" s="228" t="s">
        <v>3</v>
      </c>
      <c r="O5" s="228"/>
      <c r="P5" s="228"/>
      <c r="Q5" s="228"/>
    </row>
    <row r="6" spans="1:36" ht="14" thickBot="1">
      <c r="C6" s="153"/>
    </row>
    <row r="7" spans="1:36" ht="14" thickBot="1">
      <c r="C7" s="153"/>
      <c r="F7" s="227" t="s">
        <v>3</v>
      </c>
      <c r="N7" s="228" t="s">
        <v>3</v>
      </c>
      <c r="O7" s="228"/>
      <c r="P7" s="228"/>
      <c r="Q7" s="228"/>
      <c r="T7" s="207">
        <f>'6-SC TX &amp; RX Set-Up'!L68+'6-SC TX &amp; RX Set-Up'!L71</f>
        <v>0.4</v>
      </c>
      <c r="U7" s="154" t="s">
        <v>183</v>
      </c>
      <c r="X7" s="227" t="s">
        <v>3</v>
      </c>
      <c r="Y7" s="12"/>
    </row>
    <row r="8" spans="1:36" ht="14" thickBot="1">
      <c r="N8" s="356" t="s">
        <v>184</v>
      </c>
      <c r="O8" s="434">
        <f>('6-SC TX &amp; RX Set-Up'!D9)*1000</f>
        <v>10</v>
      </c>
      <c r="P8" s="432"/>
      <c r="Q8" s="372"/>
      <c r="R8" s="433" t="s">
        <v>3</v>
      </c>
      <c r="S8" s="35" t="s">
        <v>3</v>
      </c>
    </row>
    <row r="9" spans="1:36" ht="14" thickBot="1">
      <c r="B9" s="63" t="s">
        <v>3</v>
      </c>
      <c r="K9" s="155">
        <f>'6-SC TX &amp; RX Set-Up'!F71</f>
        <v>0.2</v>
      </c>
      <c r="L9" s="154" t="s">
        <v>183</v>
      </c>
      <c r="N9" s="429" t="s">
        <v>3</v>
      </c>
      <c r="O9" s="429"/>
      <c r="P9" s="429"/>
      <c r="Q9" s="429"/>
      <c r="R9" s="430" t="s">
        <v>3</v>
      </c>
      <c r="S9" s="431" t="s">
        <v>3</v>
      </c>
      <c r="W9" s="155">
        <f>'7-User Terminal Set-Up'!H86</f>
        <v>0.2</v>
      </c>
      <c r="X9" s="154" t="s">
        <v>183</v>
      </c>
    </row>
    <row r="10" spans="1:36" ht="14" thickBot="1">
      <c r="F10" s="155">
        <f>'7-User Terminal Set-Up'!H31</f>
        <v>1</v>
      </c>
      <c r="G10" s="158" t="s">
        <v>185</v>
      </c>
      <c r="AC10" s="35"/>
    </row>
    <row r="11" spans="1:36" ht="14" thickBot="1">
      <c r="AE11" s="210" t="e">
        <f ca="1">'3-Link Scenario Planner'!E33</f>
        <v>#NAME?</v>
      </c>
      <c r="AF11" s="439" t="s">
        <v>779</v>
      </c>
      <c r="AG11" s="159"/>
      <c r="AH11" s="159"/>
      <c r="AI11" s="167"/>
    </row>
    <row r="12" spans="1:36" ht="14" thickBot="1">
      <c r="AE12" s="928" t="e">
        <f ca="1">'12-RX-TX Link Results'!D13</f>
        <v>#NAME?</v>
      </c>
      <c r="AF12" s="1073" t="s">
        <v>780</v>
      </c>
      <c r="AG12" s="1074"/>
      <c r="AH12" s="1074"/>
      <c r="AI12" s="1075"/>
    </row>
    <row r="13" spans="1:36" ht="14" thickBot="1">
      <c r="B13" s="205" t="e">
        <f ca="1">'3-Link Scenario Planner'!E33</f>
        <v>#NAME?</v>
      </c>
      <c r="C13" s="157" t="s">
        <v>708</v>
      </c>
      <c r="AB13" s="927" t="e">
        <f ca="1">'3-Link Scenario Planner'!E57</f>
        <v>#NAME?</v>
      </c>
      <c r="AC13" s="157" t="s">
        <v>179</v>
      </c>
      <c r="AE13" s="160">
        <f>'12-RX-TX Link Results'!D24</f>
        <v>1</v>
      </c>
      <c r="AF13" s="161" t="s">
        <v>186</v>
      </c>
      <c r="AG13" s="162"/>
      <c r="AH13" s="210" t="e">
        <f ca="1">'12-RX-TX Link Results'!D11</f>
        <v>#NAME?</v>
      </c>
      <c r="AI13" s="163" t="s">
        <v>204</v>
      </c>
    </row>
    <row r="14" spans="1:36" ht="14" thickBot="1">
      <c r="B14" s="1071" t="s">
        <v>587</v>
      </c>
      <c r="C14" s="1072"/>
      <c r="AB14" s="1063" t="s">
        <v>547</v>
      </c>
      <c r="AC14" s="1064"/>
      <c r="AE14" s="165" t="e">
        <f ca="1">'12-RX-TX Link Results'!D16</f>
        <v>#NAME?</v>
      </c>
      <c r="AF14" s="166" t="s">
        <v>573</v>
      </c>
      <c r="AG14" s="159"/>
      <c r="AH14" s="159"/>
      <c r="AI14" s="167"/>
    </row>
    <row r="15" spans="1:36" ht="14" thickBot="1">
      <c r="I15" s="491" t="s">
        <v>489</v>
      </c>
      <c r="U15" s="491" t="s">
        <v>492</v>
      </c>
    </row>
    <row r="16" spans="1:36" ht="14" thickBot="1">
      <c r="I16" s="478" t="str">
        <f>'3-Link Scenario Planner'!H15</f>
        <v>No</v>
      </c>
      <c r="U16" s="478" t="str">
        <f>'3-Link Scenario Planner'!H15</f>
        <v>No</v>
      </c>
      <c r="AE16" s="168" t="s">
        <v>187</v>
      </c>
      <c r="AF16" s="169"/>
      <c r="AG16" s="170"/>
      <c r="AH16" s="211">
        <f>'4A-Orbit'!C26</f>
        <v>35785.999999998072</v>
      </c>
      <c r="AI16" s="157" t="s">
        <v>8</v>
      </c>
      <c r="AJ16" s="203" t="s">
        <v>574</v>
      </c>
    </row>
    <row r="17" spans="3:36" ht="14" thickBot="1">
      <c r="AE17" s="168" t="s">
        <v>199</v>
      </c>
      <c r="AF17" s="16"/>
      <c r="AG17" s="17"/>
      <c r="AH17" s="212">
        <f>'4A-Orbit'!K26</f>
        <v>39554.535616248992</v>
      </c>
      <c r="AI17" s="157" t="s">
        <v>8</v>
      </c>
      <c r="AJ17" s="215">
        <f>'4A-Orbit'!G26</f>
        <v>20</v>
      </c>
    </row>
    <row r="18" spans="3:36" ht="14" thickBot="1">
      <c r="N18" s="436"/>
      <c r="O18" s="436"/>
      <c r="P18" s="436"/>
      <c r="Q18" s="172" t="s">
        <v>411</v>
      </c>
      <c r="R18" s="206">
        <f>'6-SC TX &amp; RX Set-Up'!D13</f>
        <v>10</v>
      </c>
      <c r="S18" s="173" t="s">
        <v>107</v>
      </c>
      <c r="AE18" s="168" t="s">
        <v>198</v>
      </c>
      <c r="AF18" s="16"/>
      <c r="AG18" s="17"/>
      <c r="AH18" s="213">
        <f>'4A-Orbit'!K26</f>
        <v>39554.535616248992</v>
      </c>
      <c r="AI18" s="157" t="s">
        <v>8</v>
      </c>
      <c r="AJ18" s="215">
        <f>'4A-Orbit'!G26</f>
        <v>20</v>
      </c>
    </row>
    <row r="19" spans="3:36" ht="15" thickBot="1">
      <c r="C19" s="174"/>
      <c r="G19" s="175">
        <f>'8-Uplink Budget'!C11</f>
        <v>45.794780430648096</v>
      </c>
      <c r="H19" s="176" t="s">
        <v>188</v>
      </c>
      <c r="I19" s="177"/>
      <c r="J19" s="177"/>
      <c r="K19" s="155">
        <f>'6-SC TX &amp; RX Set-Up'!F68</f>
        <v>21.788020650825842</v>
      </c>
      <c r="L19" s="176" t="s">
        <v>188</v>
      </c>
      <c r="V19" s="155">
        <f>'9-Downlink Budget'!C30</f>
        <v>38.58459313660309</v>
      </c>
      <c r="W19" s="176" t="s">
        <v>189</v>
      </c>
    </row>
    <row r="20" spans="3:36" ht="14" thickBot="1">
      <c r="C20" s="181"/>
      <c r="W20" s="182"/>
      <c r="AE20" s="178" t="s">
        <v>122</v>
      </c>
      <c r="AF20" s="179"/>
      <c r="AG20" s="214">
        <f>'5-Frequency'!C6</f>
        <v>24025</v>
      </c>
      <c r="AH20" s="180" t="s">
        <v>28</v>
      </c>
    </row>
    <row r="21" spans="3:36" ht="14" thickBot="1">
      <c r="E21" s="184" t="s">
        <v>190</v>
      </c>
      <c r="F21" s="156">
        <f>'7-User Terminal Set-Up'!M38</f>
        <v>1</v>
      </c>
      <c r="G21" s="173" t="s">
        <v>107</v>
      </c>
      <c r="L21" s="490">
        <f>'8-Uplink Budget'!C34</f>
        <v>374.11343530551437</v>
      </c>
      <c r="M21" s="185" t="s">
        <v>191</v>
      </c>
      <c r="N21" s="157"/>
      <c r="O21" s="35"/>
      <c r="P21" s="35"/>
      <c r="Q21" s="35"/>
      <c r="S21" s="186">
        <f>'6-SC TX &amp; RX Set-Up'!L74</f>
        <v>17.218614897305617</v>
      </c>
      <c r="T21" s="187" t="s">
        <v>192</v>
      </c>
      <c r="U21" s="188"/>
      <c r="W21" s="155">
        <f>IF('3-Link Scenario Planner'!H15="Yes",'9-Downlink Budget'!C39,'9-Downlink Budget'!C38)</f>
        <v>292.72821837815468</v>
      </c>
      <c r="X21" s="185" t="s">
        <v>191</v>
      </c>
      <c r="Y21" s="189"/>
      <c r="Z21" s="164"/>
      <c r="AE21" s="178" t="s">
        <v>121</v>
      </c>
      <c r="AF21" s="183"/>
      <c r="AG21" s="214">
        <f>'5-Frequency'!C12</f>
        <v>10475</v>
      </c>
      <c r="AH21" s="180" t="s">
        <v>28</v>
      </c>
    </row>
    <row r="22" spans="3:36" ht="14" thickBot="1"/>
    <row r="23" spans="3:36" ht="14" thickBot="1">
      <c r="G23" s="190">
        <f>'7-User Terminal Set-Up'!J42</f>
        <v>43.994780430648099</v>
      </c>
      <c r="H23" s="191" t="s">
        <v>193</v>
      </c>
      <c r="I23" s="192"/>
      <c r="J23" s="95"/>
      <c r="K23" s="190">
        <f>'8-Uplink Budget'!C35</f>
        <v>-4.9420123994607792</v>
      </c>
      <c r="L23" s="193" t="s">
        <v>194</v>
      </c>
      <c r="O23" s="437" t="s">
        <v>412</v>
      </c>
      <c r="P23" s="438" t="e">
        <f ca="1">IF('3-Link Scenario Planner'!H15="Yes",'8-Uplink Budget'!C58,'8-Uplink Budget'!C57)</f>
        <v>#NAME?</v>
      </c>
      <c r="R23" s="190">
        <f>'9-Downlink Budget'!C14</f>
        <v>26.818614897305618</v>
      </c>
      <c r="S23" s="194" t="s">
        <v>195</v>
      </c>
      <c r="T23" s="195"/>
      <c r="U23" s="153"/>
      <c r="W23" s="190">
        <f>IF('3-Link Scenario Planner'!H15="Yes",'9-Downlink Budget'!C41,'9-Downlink Budget'!C40)</f>
        <v>13.019947241434288</v>
      </c>
      <c r="X23" s="193" t="s">
        <v>194</v>
      </c>
    </row>
    <row r="25" spans="3:36" ht="14" thickBot="1"/>
    <row r="26" spans="3:36" ht="14" thickBot="1">
      <c r="U26" s="22" t="s">
        <v>206</v>
      </c>
      <c r="AC26" s="22" t="s">
        <v>207</v>
      </c>
      <c r="AG26" s="63" t="s">
        <v>3</v>
      </c>
    </row>
    <row r="27" spans="3:36" ht="14" thickBot="1">
      <c r="L27" s="196" t="s">
        <v>491</v>
      </c>
      <c r="M27" s="561" t="e">
        <f ca="1">IF('3-Link Scenario Planner'!H15="Yes",'8-Uplink Budget'!C55,'8-Uplink Budget'!C54)</f>
        <v>#NAME?</v>
      </c>
      <c r="N27" s="197" t="s">
        <v>196</v>
      </c>
      <c r="O27" s="435"/>
      <c r="P27" s="435"/>
      <c r="Q27" s="435"/>
      <c r="S27" s="220" t="s">
        <v>493</v>
      </c>
      <c r="T27" s="221" t="e">
        <f ca="1">IF('3-Link Scenario Planner'!H15="Yes",'8-Uplink Budget'!C47,'8-Uplink Budget'!C46)</f>
        <v>#NAME?</v>
      </c>
      <c r="U27" s="222" t="s">
        <v>31</v>
      </c>
      <c r="W27" s="198" t="s">
        <v>491</v>
      </c>
      <c r="X27" s="209" t="e">
        <f ca="1">IF('3-Link Scenario Planner'!H15="Yes",'9-Downlink Budget'!C47,'9-Downlink Budget'!C46)</f>
        <v>#NAME?</v>
      </c>
      <c r="Y27" s="197" t="s">
        <v>196</v>
      </c>
      <c r="AA27" s="198" t="s">
        <v>197</v>
      </c>
      <c r="AB27" s="209" t="e">
        <f ca="1">'9-Downlink Budget'!C51</f>
        <v>#NAME?</v>
      </c>
      <c r="AC27" s="197" t="s">
        <v>31</v>
      </c>
    </row>
    <row r="28" spans="3:36" ht="14" thickBot="1">
      <c r="S28" s="224" t="s">
        <v>490</v>
      </c>
      <c r="T28" s="218">
        <f>'8-Uplink Budget'!C38</f>
        <v>0.01</v>
      </c>
      <c r="U28" s="219" t="s">
        <v>28</v>
      </c>
      <c r="AA28" s="199" t="s">
        <v>443</v>
      </c>
      <c r="AB28" s="208">
        <f>'9-Downlink Budget'!C48/1000</f>
        <v>1</v>
      </c>
      <c r="AC28" s="171" t="s">
        <v>28</v>
      </c>
    </row>
    <row r="29" spans="3:36">
      <c r="S29" s="492" t="s">
        <v>546</v>
      </c>
      <c r="T29" s="223" t="e">
        <f ca="1">IF('3-Link Scenario Planner'!H15="Yes",'8-Uplink Budget'!C55,'8-Uplink Budget'!C54)</f>
        <v>#NAME?</v>
      </c>
      <c r="U29" s="222" t="s">
        <v>57</v>
      </c>
    </row>
    <row r="30" spans="3:36" ht="14" thickBot="1">
      <c r="S30" s="225" t="s">
        <v>205</v>
      </c>
      <c r="T30" s="217">
        <f>'8-Uplink Budget'!C49</f>
        <v>0.01</v>
      </c>
      <c r="U30" s="216" t="s">
        <v>28</v>
      </c>
    </row>
    <row r="31" spans="3:36" ht="14" thickBot="1">
      <c r="AC31" s="63" t="s">
        <v>3</v>
      </c>
    </row>
    <row r="32" spans="3:36" ht="14" thickBot="1">
      <c r="M32" s="1060" t="s">
        <v>424</v>
      </c>
      <c r="N32" s="1061"/>
      <c r="O32" s="1061"/>
      <c r="P32" s="1062"/>
    </row>
    <row r="33" spans="13:22">
      <c r="M33" s="453" t="s">
        <v>201</v>
      </c>
      <c r="N33" s="358"/>
      <c r="O33" s="200">
        <f>'6-SC TX &amp; RX Set-Up'!D13</f>
        <v>10</v>
      </c>
      <c r="P33" s="450" t="s">
        <v>107</v>
      </c>
    </row>
    <row r="34" spans="13:22">
      <c r="M34" s="454" t="s">
        <v>202</v>
      </c>
      <c r="N34" s="359"/>
      <c r="O34" s="201">
        <f>'6-SC TX &amp; RX Set-Up'!D21</f>
        <v>35.714285714285708</v>
      </c>
      <c r="P34" s="451" t="s">
        <v>107</v>
      </c>
      <c r="T34" s="1059"/>
      <c r="U34" s="1059"/>
      <c r="V34" s="1059"/>
    </row>
    <row r="35" spans="13:22" ht="14" thickBot="1">
      <c r="M35" s="455" t="s">
        <v>203</v>
      </c>
      <c r="N35" s="357"/>
      <c r="O35" s="202">
        <f>O34-O33</f>
        <v>25.714285714285708</v>
      </c>
      <c r="P35" s="452" t="s">
        <v>107</v>
      </c>
      <c r="T35" s="373"/>
      <c r="U35" s="374"/>
      <c r="V35" s="375"/>
    </row>
  </sheetData>
  <mergeCells count="8">
    <mergeCell ref="AF12:AI12"/>
    <mergeCell ref="A2:I2"/>
    <mergeCell ref="T34:V34"/>
    <mergeCell ref="M32:P32"/>
    <mergeCell ref="AB14:AC14"/>
    <mergeCell ref="A1:I1"/>
    <mergeCell ref="A3:I3"/>
    <mergeCell ref="B14:C14"/>
  </mergeCells>
  <phoneticPr fontId="0" type="noConversion"/>
  <pageMargins left="0.7" right="0.7" top="0.75" bottom="0.75" header="0.3" footer="0.3"/>
  <pageSetup orientation="portrait" horizontalDpi="1200" verticalDpi="120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249977111117893"/>
  </sheetPr>
  <dimension ref="A1:Z81"/>
  <sheetViews>
    <sheetView workbookViewId="0">
      <selection activeCell="A2" sqref="A2"/>
    </sheetView>
  </sheetViews>
  <sheetFormatPr baseColWidth="10" defaultColWidth="8.83203125" defaultRowHeight="13"/>
  <sheetData>
    <row r="1" spans="1:26" ht="17" thickBot="1">
      <c r="A1" s="655" t="s">
        <v>598</v>
      </c>
      <c r="B1" s="617"/>
      <c r="C1" s="617"/>
      <c r="D1" s="617"/>
      <c r="E1" s="599"/>
      <c r="F1" s="599"/>
      <c r="G1" s="599"/>
      <c r="H1" s="599"/>
      <c r="I1" s="599"/>
      <c r="J1" s="599"/>
      <c r="K1" s="599"/>
      <c r="L1" s="599"/>
      <c r="M1" s="599"/>
      <c r="N1" s="599"/>
      <c r="O1" s="599"/>
      <c r="P1" s="599"/>
      <c r="Q1" s="599"/>
      <c r="R1" s="599"/>
      <c r="S1" s="599"/>
      <c r="T1" s="599"/>
      <c r="U1" s="599"/>
      <c r="V1" s="599"/>
      <c r="W1" s="599"/>
      <c r="X1" s="599"/>
      <c r="Y1" s="599"/>
      <c r="Z1" s="599"/>
    </row>
    <row r="2" spans="1:26">
      <c r="A2" s="656" t="s">
        <v>659</v>
      </c>
      <c r="B2" s="12" t="s">
        <v>17</v>
      </c>
      <c r="C2" s="12" t="s">
        <v>16</v>
      </c>
      <c r="D2" s="12" t="s">
        <v>18</v>
      </c>
      <c r="E2" s="12" t="s">
        <v>20</v>
      </c>
      <c r="F2" s="12" t="s">
        <v>19</v>
      </c>
      <c r="G2" s="12" t="s">
        <v>21</v>
      </c>
      <c r="I2" t="s">
        <v>3</v>
      </c>
    </row>
    <row r="3" spans="1:26">
      <c r="B3" s="12">
        <f>SQRT(D3-(C3)^2)</f>
        <v>3.5199431813596083</v>
      </c>
      <c r="C3" s="13">
        <v>-1.9</v>
      </c>
      <c r="D3" s="13">
        <v>16</v>
      </c>
      <c r="E3" s="12">
        <f>SQRT(G3-(F4)^2)</f>
        <v>3.5745629103430252</v>
      </c>
      <c r="F3" s="12">
        <v>-1.9</v>
      </c>
      <c r="G3" s="13">
        <v>16.2</v>
      </c>
      <c r="I3" t="s">
        <v>3</v>
      </c>
    </row>
    <row r="4" spans="1:26">
      <c r="B4" s="12">
        <f t="shared" ref="B4:B40" si="0">SQRT(D4-(C4)^2)</f>
        <v>3.5464771252610667</v>
      </c>
      <c r="C4" s="13">
        <f>C3+0.05</f>
        <v>-1.8499999999999999</v>
      </c>
      <c r="D4" s="13">
        <v>16</v>
      </c>
      <c r="E4" s="12">
        <f t="shared" ref="E4:E40" si="1">SQRT(G4-(F5)^2)</f>
        <v>3.6</v>
      </c>
      <c r="F4" s="12">
        <f>F3+0.05</f>
        <v>-1.8499999999999999</v>
      </c>
      <c r="G4" s="13">
        <v>16.2</v>
      </c>
    </row>
    <row r="5" spans="1:26">
      <c r="B5" s="12">
        <f t="shared" si="0"/>
        <v>3.5721142198983507</v>
      </c>
      <c r="C5" s="13">
        <f t="shared" ref="C5:C40" si="2">C4+0.05</f>
        <v>-1.7999999999999998</v>
      </c>
      <c r="D5" s="13">
        <v>16</v>
      </c>
      <c r="E5" s="12">
        <f t="shared" si="1"/>
        <v>3.6245689398878866</v>
      </c>
      <c r="F5" s="13">
        <f t="shared" ref="F5:F40" si="3">F4+0.05</f>
        <v>-1.7999999999999998</v>
      </c>
      <c r="G5" s="13">
        <v>16.2</v>
      </c>
    </row>
    <row r="6" spans="1:26">
      <c r="B6" s="12">
        <f t="shared" si="0"/>
        <v>3.5968736424845398</v>
      </c>
      <c r="C6" s="13">
        <f t="shared" si="2"/>
        <v>-1.7499999999999998</v>
      </c>
      <c r="D6" s="13">
        <v>16</v>
      </c>
      <c r="E6" s="12">
        <f t="shared" si="1"/>
        <v>3.6482872693909401</v>
      </c>
      <c r="F6" s="13">
        <f t="shared" si="3"/>
        <v>-1.7499999999999998</v>
      </c>
      <c r="G6" s="13">
        <v>16.2</v>
      </c>
    </row>
    <row r="7" spans="1:26">
      <c r="B7" s="12">
        <f t="shared" si="0"/>
        <v>3.6207733980463348</v>
      </c>
      <c r="C7" s="13">
        <f t="shared" si="2"/>
        <v>-1.6999999999999997</v>
      </c>
      <c r="D7" s="13">
        <v>16</v>
      </c>
      <c r="E7" s="12">
        <f t="shared" si="1"/>
        <v>3.6711714751561253</v>
      </c>
      <c r="F7" s="13">
        <f t="shared" si="3"/>
        <v>-1.6999999999999997</v>
      </c>
      <c r="G7" s="13">
        <v>16.2</v>
      </c>
    </row>
    <row r="8" spans="1:26">
      <c r="B8" s="12">
        <f t="shared" si="0"/>
        <v>3.6438304022004102</v>
      </c>
      <c r="C8" s="13">
        <f t="shared" si="2"/>
        <v>-1.6499999999999997</v>
      </c>
      <c r="D8" s="13">
        <v>16</v>
      </c>
      <c r="E8" s="12">
        <f t="shared" si="1"/>
        <v>3.6932370625238775</v>
      </c>
      <c r="F8" s="13">
        <f t="shared" si="3"/>
        <v>-1.6499999999999997</v>
      </c>
      <c r="G8" s="13">
        <v>16.2</v>
      </c>
    </row>
    <row r="9" spans="1:26">
      <c r="B9" s="12">
        <f t="shared" si="0"/>
        <v>3.6660605559646724</v>
      </c>
      <c r="C9" s="13">
        <f t="shared" si="2"/>
        <v>-1.5999999999999996</v>
      </c>
      <c r="D9" s="13">
        <v>16</v>
      </c>
      <c r="E9" s="12">
        <f t="shared" si="1"/>
        <v>3.7144986202716512</v>
      </c>
      <c r="F9" s="13">
        <f t="shared" si="3"/>
        <v>-1.5999999999999996</v>
      </c>
      <c r="G9" s="13">
        <v>16.2</v>
      </c>
    </row>
    <row r="10" spans="1:26">
      <c r="B10" s="12">
        <f t="shared" si="0"/>
        <v>3.6874788134984584</v>
      </c>
      <c r="C10" s="13">
        <f t="shared" si="2"/>
        <v>-1.5499999999999996</v>
      </c>
      <c r="D10" s="13">
        <v>16</v>
      </c>
      <c r="E10" s="12">
        <f t="shared" si="1"/>
        <v>3.73496987939662</v>
      </c>
      <c r="F10" s="13">
        <f t="shared" si="3"/>
        <v>-1.5499999999999996</v>
      </c>
      <c r="G10" s="13">
        <v>16.2</v>
      </c>
    </row>
    <row r="11" spans="1:26">
      <c r="B11" s="12">
        <f t="shared" si="0"/>
        <v>3.7080992435478319</v>
      </c>
      <c r="C11" s="13">
        <f t="shared" si="2"/>
        <v>-1.4999999999999996</v>
      </c>
      <c r="D11" s="13">
        <v>16</v>
      </c>
      <c r="E11" s="12">
        <f t="shared" si="1"/>
        <v>3.7546637665708498</v>
      </c>
      <c r="F11" s="13">
        <f t="shared" si="3"/>
        <v>-1.4999999999999996</v>
      </c>
      <c r="G11" s="13">
        <v>16.2</v>
      </c>
    </row>
    <row r="12" spans="1:26">
      <c r="B12" s="12">
        <f t="shared" si="0"/>
        <v>3.7279350852717381</v>
      </c>
      <c r="C12" s="13">
        <f t="shared" si="2"/>
        <v>-1.4499999999999995</v>
      </c>
      <c r="D12" s="13">
        <v>16</v>
      </c>
      <c r="E12" s="12">
        <f t="shared" si="1"/>
        <v>3.7735924528226414</v>
      </c>
      <c r="F12" s="13">
        <f t="shared" si="3"/>
        <v>-1.4499999999999995</v>
      </c>
      <c r="G12" s="13">
        <v>16.2</v>
      </c>
    </row>
    <row r="13" spans="1:26">
      <c r="B13" s="12">
        <f t="shared" si="0"/>
        <v>3.746998799039039</v>
      </c>
      <c r="C13" s="13">
        <f t="shared" si="2"/>
        <v>-1.3999999999999995</v>
      </c>
      <c r="D13" s="13">
        <v>16</v>
      </c>
      <c r="E13" s="12">
        <f t="shared" si="1"/>
        <v>3.7917673979293616</v>
      </c>
      <c r="F13" s="13">
        <f t="shared" si="3"/>
        <v>-1.3999999999999995</v>
      </c>
      <c r="G13" s="13">
        <v>16.2</v>
      </c>
    </row>
    <row r="14" spans="1:26">
      <c r="B14" s="12">
        <f t="shared" si="0"/>
        <v>3.7653021127128699</v>
      </c>
      <c r="C14" s="13">
        <f t="shared" si="2"/>
        <v>-1.3499999999999994</v>
      </c>
      <c r="D14" s="13">
        <v>16</v>
      </c>
      <c r="E14" s="12">
        <f t="shared" si="1"/>
        <v>3.8091993909481823</v>
      </c>
      <c r="F14" s="13">
        <f t="shared" si="3"/>
        <v>-1.3499999999999994</v>
      </c>
      <c r="G14" s="13">
        <v>16.2</v>
      </c>
    </row>
    <row r="15" spans="1:26">
      <c r="B15" s="12">
        <f t="shared" si="0"/>
        <v>3.7828560638755477</v>
      </c>
      <c r="C15" s="13">
        <f t="shared" si="2"/>
        <v>-1.2999999999999994</v>
      </c>
      <c r="D15" s="13">
        <v>16</v>
      </c>
      <c r="E15" s="12">
        <f t="shared" si="1"/>
        <v>3.8258985872602533</v>
      </c>
      <c r="F15" s="13">
        <f t="shared" si="3"/>
        <v>-1.2999999999999994</v>
      </c>
      <c r="G15" s="13">
        <v>16.2</v>
      </c>
    </row>
    <row r="16" spans="1:26">
      <c r="B16" s="12">
        <f t="shared" si="0"/>
        <v>3.799671038392666</v>
      </c>
      <c r="C16" s="13">
        <f t="shared" si="2"/>
        <v>-1.2499999999999993</v>
      </c>
      <c r="D16" s="13">
        <v>16</v>
      </c>
      <c r="E16" s="12">
        <f t="shared" si="1"/>
        <v>3.8418745424597094</v>
      </c>
      <c r="F16" s="13">
        <f t="shared" si="3"/>
        <v>-1.2499999999999993</v>
      </c>
      <c r="G16" s="13">
        <v>16.2</v>
      </c>
    </row>
    <row r="17" spans="2:7">
      <c r="B17" s="12">
        <f t="shared" si="0"/>
        <v>3.8157568056677831</v>
      </c>
      <c r="C17" s="13">
        <f t="shared" si="2"/>
        <v>-1.1999999999999993</v>
      </c>
      <c r="D17" s="13">
        <v>16</v>
      </c>
      <c r="E17" s="12">
        <f t="shared" si="1"/>
        <v>3.8571362433805731</v>
      </c>
      <c r="F17" s="13">
        <f t="shared" si="3"/>
        <v>-1.1999999999999993</v>
      </c>
      <c r="G17" s="13">
        <v>16.2</v>
      </c>
    </row>
    <row r="18" spans="2:7">
      <c r="B18" s="12">
        <f t="shared" si="0"/>
        <v>3.8311225508981051</v>
      </c>
      <c r="C18" s="13">
        <f t="shared" si="2"/>
        <v>-1.1499999999999992</v>
      </c>
      <c r="D18" s="13">
        <v>16</v>
      </c>
      <c r="E18" s="12">
        <f t="shared" si="1"/>
        <v>3.871692136521188</v>
      </c>
      <c r="F18" s="13">
        <f t="shared" si="3"/>
        <v>-1.1499999999999992</v>
      </c>
      <c r="G18" s="13">
        <v>16.2</v>
      </c>
    </row>
    <row r="19" spans="2:7">
      <c r="B19" s="12">
        <f t="shared" si="0"/>
        <v>3.8457769046058825</v>
      </c>
      <c r="C19" s="13">
        <f t="shared" si="2"/>
        <v>-1.0999999999999992</v>
      </c>
      <c r="D19" s="13">
        <v>16</v>
      </c>
      <c r="E19" s="12">
        <f t="shared" si="1"/>
        <v>3.8855501540965856</v>
      </c>
      <c r="F19" s="13">
        <f t="shared" si="3"/>
        <v>-1.0999999999999992</v>
      </c>
      <c r="G19" s="13">
        <v>16.2</v>
      </c>
    </row>
    <row r="20" spans="2:7">
      <c r="B20" s="12">
        <f t="shared" si="0"/>
        <v>3.8597279696890556</v>
      </c>
      <c r="C20" s="13">
        <f t="shared" si="2"/>
        <v>-1.0499999999999992</v>
      </c>
      <c r="D20" s="13">
        <v>16</v>
      </c>
      <c r="E20" s="12">
        <f t="shared" si="1"/>
        <v>3.8987177379235858</v>
      </c>
      <c r="F20" s="13">
        <f t="shared" si="3"/>
        <v>-1.0499999999999992</v>
      </c>
      <c r="G20" s="13">
        <v>16.2</v>
      </c>
    </row>
    <row r="21" spans="2:7">
      <c r="B21" s="12">
        <f t="shared" si="0"/>
        <v>3.872983346207417</v>
      </c>
      <c r="C21" s="13">
        <f t="shared" si="2"/>
        <v>-0.99999999999999911</v>
      </c>
      <c r="D21" s="13">
        <v>16</v>
      </c>
      <c r="E21" s="12">
        <f t="shared" si="1"/>
        <v>3.9112018613208908</v>
      </c>
      <c r="F21" s="13">
        <f t="shared" si="3"/>
        <v>-0.99999999999999911</v>
      </c>
      <c r="G21" s="13">
        <v>16.2</v>
      </c>
    </row>
    <row r="22" spans="2:7">
      <c r="B22" s="12">
        <f t="shared" si="0"/>
        <v>3.885550154096586</v>
      </c>
      <c r="C22" s="13">
        <f t="shared" si="2"/>
        <v>-0.94999999999999907</v>
      </c>
      <c r="D22" s="13">
        <v>16</v>
      </c>
      <c r="E22" s="12">
        <f t="shared" si="1"/>
        <v>3.9230090491866063</v>
      </c>
      <c r="F22" s="13">
        <f t="shared" si="3"/>
        <v>-0.94999999999999907</v>
      </c>
      <c r="G22" s="13">
        <v>16.2</v>
      </c>
    </row>
    <row r="23" spans="2:7">
      <c r="B23" s="12">
        <f t="shared" si="0"/>
        <v>3.8974350539810154</v>
      </c>
      <c r="C23" s="13">
        <f t="shared" si="2"/>
        <v>-0.89999999999999902</v>
      </c>
      <c r="D23" s="13">
        <v>16</v>
      </c>
      <c r="E23" s="12">
        <f t="shared" si="1"/>
        <v>3.9341453963980539</v>
      </c>
      <c r="F23" s="13">
        <f t="shared" si="3"/>
        <v>-0.89999999999999902</v>
      </c>
      <c r="G23" s="13">
        <v>16.2</v>
      </c>
    </row>
    <row r="24" spans="2:7">
      <c r="B24" s="12">
        <f t="shared" si="0"/>
        <v>3.9086442662386149</v>
      </c>
      <c r="C24" s="13">
        <f t="shared" si="2"/>
        <v>-0.84999999999999898</v>
      </c>
      <c r="D24" s="13">
        <v>16</v>
      </c>
      <c r="E24" s="12">
        <f t="shared" si="1"/>
        <v>3.944616584663204</v>
      </c>
      <c r="F24" s="13">
        <f t="shared" si="3"/>
        <v>-0.84999999999999898</v>
      </c>
      <c r="G24" s="13">
        <v>16.2</v>
      </c>
    </row>
    <row r="25" spans="2:7">
      <c r="B25" s="12">
        <f t="shared" si="0"/>
        <v>3.9191835884530852</v>
      </c>
      <c r="C25" s="13">
        <f t="shared" si="2"/>
        <v>-0.79999999999999893</v>
      </c>
      <c r="D25" s="13">
        <v>16</v>
      </c>
      <c r="E25" s="12">
        <f t="shared" si="1"/>
        <v>3.9544278979392202</v>
      </c>
      <c r="F25" s="13">
        <f t="shared" si="3"/>
        <v>-0.79999999999999893</v>
      </c>
      <c r="G25" s="13">
        <v>16.2</v>
      </c>
    </row>
    <row r="26" spans="2:7">
      <c r="B26" s="12">
        <f t="shared" si="0"/>
        <v>3.9290584113754279</v>
      </c>
      <c r="C26" s="13">
        <f t="shared" si="2"/>
        <v>-0.74999999999999889</v>
      </c>
      <c r="D26" s="13">
        <v>16</v>
      </c>
      <c r="E26" s="12">
        <f t="shared" si="1"/>
        <v>3.963584236521283</v>
      </c>
      <c r="F26" s="13">
        <f t="shared" si="3"/>
        <v>-0.74999999999999889</v>
      </c>
      <c r="G26" s="13">
        <v>16.2</v>
      </c>
    </row>
    <row r="27" spans="2:7">
      <c r="B27" s="12">
        <f t="shared" si="0"/>
        <v>3.9382737335030433</v>
      </c>
      <c r="C27" s="13">
        <f t="shared" si="2"/>
        <v>-0.69999999999999885</v>
      </c>
      <c r="D27" s="13">
        <v>16</v>
      </c>
      <c r="E27" s="12">
        <f t="shared" si="1"/>
        <v>3.9720901298938323</v>
      </c>
      <c r="F27" s="13">
        <f t="shared" si="3"/>
        <v>-0.69999999999999885</v>
      </c>
      <c r="G27" s="13">
        <v>16.2</v>
      </c>
    </row>
    <row r="28" spans="2:7">
      <c r="B28" s="12">
        <f t="shared" si="0"/>
        <v>3.9468341743731776</v>
      </c>
      <c r="C28" s="13">
        <f t="shared" si="2"/>
        <v>-0.6499999999999988</v>
      </c>
      <c r="D28" s="13">
        <v>16</v>
      </c>
      <c r="E28" s="14">
        <f t="shared" si="1"/>
        <v>3.9799497484264799</v>
      </c>
      <c r="F28" s="13">
        <f t="shared" si="3"/>
        <v>-0.6499999999999988</v>
      </c>
      <c r="G28" s="13">
        <v>16.2</v>
      </c>
    </row>
    <row r="29" spans="2:7">
      <c r="B29" s="12">
        <f t="shared" si="0"/>
        <v>3.954743986657038</v>
      </c>
      <c r="C29" s="13">
        <f t="shared" si="2"/>
        <v>-0.59999999999999876</v>
      </c>
      <c r="D29" s="13">
        <v>16</v>
      </c>
      <c r="E29" s="12">
        <f t="shared" si="1"/>
        <v>3.987166913987926</v>
      </c>
      <c r="F29" s="13">
        <f t="shared" si="3"/>
        <v>-0.59999999999999876</v>
      </c>
      <c r="G29" s="13">
        <v>16.2</v>
      </c>
    </row>
    <row r="30" spans="2:7">
      <c r="B30" s="12">
        <f t="shared" si="0"/>
        <v>3.9620070671315064</v>
      </c>
      <c r="C30" s="13">
        <f t="shared" si="2"/>
        <v>-0.54999999999999871</v>
      </c>
      <c r="D30" s="13">
        <v>16</v>
      </c>
      <c r="E30" s="12">
        <f t="shared" si="1"/>
        <v>3.993745109543172</v>
      </c>
      <c r="F30" s="13">
        <f t="shared" si="3"/>
        <v>-0.54999999999999871</v>
      </c>
      <c r="G30" s="13">
        <v>16.2</v>
      </c>
    </row>
    <row r="31" spans="2:7">
      <c r="B31" s="12">
        <f t="shared" si="0"/>
        <v>3.9686269665968861</v>
      </c>
      <c r="C31" s="13">
        <f t="shared" si="2"/>
        <v>-0.49999999999999872</v>
      </c>
      <c r="D31" s="13">
        <v>16</v>
      </c>
      <c r="E31" s="12">
        <f t="shared" si="1"/>
        <v>3.999687487792015</v>
      </c>
      <c r="F31" s="13">
        <f t="shared" si="3"/>
        <v>-0.49999999999999872</v>
      </c>
      <c r="G31" s="13">
        <v>16.2</v>
      </c>
    </row>
    <row r="32" spans="2:7">
      <c r="B32" s="12">
        <f t="shared" si="0"/>
        <v>3.97460689880144</v>
      </c>
      <c r="C32" s="13">
        <f t="shared" si="2"/>
        <v>-0.44999999999999873</v>
      </c>
      <c r="D32" s="13">
        <v>16</v>
      </c>
      <c r="E32" s="12">
        <f t="shared" si="1"/>
        <v>4.0049968789001573</v>
      </c>
      <c r="F32" s="13">
        <f t="shared" si="3"/>
        <v>-0.44999999999999873</v>
      </c>
      <c r="G32" s="13">
        <v>16.2</v>
      </c>
    </row>
    <row r="33" spans="2:9">
      <c r="B33" s="12">
        <f t="shared" si="0"/>
        <v>3.9799497484264799</v>
      </c>
      <c r="C33" s="13">
        <f t="shared" si="2"/>
        <v>-0.39999999999999875</v>
      </c>
      <c r="D33" s="13">
        <v>16</v>
      </c>
      <c r="E33" s="12">
        <f t="shared" si="1"/>
        <v>4.0096757973681614</v>
      </c>
      <c r="F33" s="13">
        <f t="shared" si="3"/>
        <v>-0.39999999999999875</v>
      </c>
      <c r="G33" s="13">
        <v>16.2</v>
      </c>
    </row>
    <row r="34" spans="2:9">
      <c r="B34" s="12">
        <f t="shared" si="0"/>
        <v>3.9846580781793564</v>
      </c>
      <c r="C34" s="13">
        <f t="shared" si="2"/>
        <v>-0.34999999999999876</v>
      </c>
      <c r="D34" s="13">
        <v>16</v>
      </c>
      <c r="E34" s="12">
        <f t="shared" si="1"/>
        <v>4.0137264480778958</v>
      </c>
      <c r="F34" s="13">
        <f t="shared" si="3"/>
        <v>-0.34999999999999876</v>
      </c>
      <c r="G34" s="13">
        <v>16.2</v>
      </c>
    </row>
    <row r="35" spans="2:9">
      <c r="B35" s="12">
        <f t="shared" si="0"/>
        <v>3.9887341350358261</v>
      </c>
      <c r="C35" s="13">
        <f t="shared" si="2"/>
        <v>-0.29999999999999877</v>
      </c>
      <c r="D35" s="13">
        <v>16</v>
      </c>
      <c r="E35" s="12">
        <f t="shared" si="1"/>
        <v>4.0171507315509087</v>
      </c>
      <c r="F35" s="13">
        <f t="shared" si="3"/>
        <v>-0.29999999999999877</v>
      </c>
      <c r="G35" s="13">
        <v>16.2</v>
      </c>
    </row>
    <row r="36" spans="2:9">
      <c r="B36" s="12">
        <f t="shared" si="0"/>
        <v>3.9921798556678278</v>
      </c>
      <c r="C36" s="13">
        <f t="shared" si="2"/>
        <v>-0.24999999999999878</v>
      </c>
      <c r="D36" s="13">
        <v>16</v>
      </c>
      <c r="E36" s="12">
        <f t="shared" si="1"/>
        <v>4.0199502484483558</v>
      </c>
      <c r="F36" s="13">
        <f t="shared" si="3"/>
        <v>-0.24999999999999878</v>
      </c>
      <c r="G36" s="13">
        <v>16.2</v>
      </c>
    </row>
    <row r="37" spans="2:9">
      <c r="B37" s="12">
        <f t="shared" si="0"/>
        <v>3.9949968710876358</v>
      </c>
      <c r="C37" s="13">
        <f t="shared" si="2"/>
        <v>-0.19999999999999879</v>
      </c>
      <c r="D37" s="13">
        <v>16</v>
      </c>
      <c r="E37" s="12">
        <f t="shared" si="1"/>
        <v>4.0221263033375765</v>
      </c>
      <c r="F37" s="13">
        <f t="shared" si="3"/>
        <v>-0.19999999999999879</v>
      </c>
      <c r="G37" s="13">
        <v>16.2</v>
      </c>
    </row>
    <row r="38" spans="2:9">
      <c r="B38" s="12">
        <f t="shared" si="0"/>
        <v>3.9971865105346285</v>
      </c>
      <c r="C38" s="13">
        <f t="shared" si="2"/>
        <v>-0.1499999999999988</v>
      </c>
      <c r="D38" s="13">
        <v>16</v>
      </c>
      <c r="E38" s="12">
        <f t="shared" si="1"/>
        <v>4.0236799077461418</v>
      </c>
      <c r="F38" s="13">
        <f t="shared" si="3"/>
        <v>-0.1499999999999988</v>
      </c>
      <c r="G38" s="13">
        <v>16.2</v>
      </c>
    </row>
    <row r="39" spans="2:9">
      <c r="B39" s="12">
        <f t="shared" si="0"/>
        <v>3.9987498046264411</v>
      </c>
      <c r="C39" s="13">
        <f t="shared" si="2"/>
        <v>-9.9999999999998798E-2</v>
      </c>
      <c r="D39" s="13">
        <v>16</v>
      </c>
      <c r="E39" s="12">
        <f t="shared" si="1"/>
        <v>4.0246117825201475</v>
      </c>
      <c r="F39" s="13">
        <f t="shared" si="3"/>
        <v>-9.9999999999998798E-2</v>
      </c>
      <c r="G39" s="13">
        <v>16.2</v>
      </c>
    </row>
    <row r="40" spans="2:9">
      <c r="B40" s="12">
        <f t="shared" si="0"/>
        <v>3.999687487792015</v>
      </c>
      <c r="C40" s="13">
        <f t="shared" si="2"/>
        <v>-4.9999999999998795E-2</v>
      </c>
      <c r="D40" s="13">
        <v>16</v>
      </c>
      <c r="E40" s="12">
        <f t="shared" si="1"/>
        <v>4.0249223594996213</v>
      </c>
      <c r="F40" s="13">
        <f t="shared" si="3"/>
        <v>-4.9999999999998795E-2</v>
      </c>
      <c r="G40" s="13">
        <v>16.2</v>
      </c>
    </row>
    <row r="41" spans="2:9">
      <c r="B41" s="143">
        <v>4</v>
      </c>
      <c r="C41" s="13">
        <v>0</v>
      </c>
      <c r="D41" s="13">
        <v>16</v>
      </c>
      <c r="E41">
        <f>SQRT(G41-(F41)^2)</f>
        <v>4.0249223594996213</v>
      </c>
      <c r="F41">
        <v>0</v>
      </c>
      <c r="G41" s="13">
        <v>16.2</v>
      </c>
      <c r="I41" t="s">
        <v>3</v>
      </c>
    </row>
    <row r="42" spans="2:9">
      <c r="B42">
        <f>SQRT(D42-(C42)^2)</f>
        <v>3.999687487792015</v>
      </c>
      <c r="C42">
        <v>0.05</v>
      </c>
      <c r="D42">
        <v>16</v>
      </c>
      <c r="E42">
        <f t="shared" ref="E42:E79" si="4">SQRT(G42-(F42)^2)</f>
        <v>4.0246117825201475</v>
      </c>
      <c r="F42">
        <v>0.05</v>
      </c>
      <c r="G42" s="13">
        <v>16.2</v>
      </c>
    </row>
    <row r="43" spans="2:9">
      <c r="B43">
        <f t="shared" ref="B43:B79" si="5">SQRT(D43-(C43)^2)</f>
        <v>3.9987498046264411</v>
      </c>
      <c r="C43">
        <f>C42+0.05</f>
        <v>0.1</v>
      </c>
      <c r="D43">
        <v>16</v>
      </c>
      <c r="E43">
        <f t="shared" si="4"/>
        <v>4.0236799077461418</v>
      </c>
      <c r="F43">
        <f>F42+0.05</f>
        <v>0.1</v>
      </c>
      <c r="G43" s="13">
        <v>16.2</v>
      </c>
    </row>
    <row r="44" spans="2:9">
      <c r="B44">
        <f t="shared" si="5"/>
        <v>3.9971865105346285</v>
      </c>
      <c r="C44">
        <f t="shared" ref="C44:C79" si="6">C43+0.05</f>
        <v>0.15000000000000002</v>
      </c>
      <c r="D44">
        <v>16</v>
      </c>
      <c r="E44">
        <f t="shared" si="4"/>
        <v>4.0221263033375765</v>
      </c>
      <c r="F44">
        <f t="shared" ref="F44:F79" si="7">F43+0.05</f>
        <v>0.15000000000000002</v>
      </c>
      <c r="G44" s="13">
        <v>16.2</v>
      </c>
    </row>
    <row r="45" spans="2:9">
      <c r="B45">
        <f t="shared" si="5"/>
        <v>3.9949968710876358</v>
      </c>
      <c r="C45">
        <f t="shared" si="6"/>
        <v>0.2</v>
      </c>
      <c r="D45">
        <v>16</v>
      </c>
      <c r="E45">
        <f t="shared" si="4"/>
        <v>4.0199502484483558</v>
      </c>
      <c r="F45">
        <f t="shared" si="7"/>
        <v>0.2</v>
      </c>
      <c r="G45" s="13">
        <v>16.2</v>
      </c>
    </row>
    <row r="46" spans="2:9">
      <c r="B46">
        <f t="shared" si="5"/>
        <v>3.9921798556678278</v>
      </c>
      <c r="C46">
        <f t="shared" si="6"/>
        <v>0.25</v>
      </c>
      <c r="D46">
        <v>16</v>
      </c>
      <c r="E46">
        <f t="shared" si="4"/>
        <v>4.0171507315509087</v>
      </c>
      <c r="F46">
        <f t="shared" si="7"/>
        <v>0.25</v>
      </c>
      <c r="G46" s="13">
        <v>16.2</v>
      </c>
    </row>
    <row r="47" spans="2:9">
      <c r="B47">
        <f t="shared" si="5"/>
        <v>3.9887341350358261</v>
      </c>
      <c r="C47">
        <f t="shared" si="6"/>
        <v>0.3</v>
      </c>
      <c r="D47">
        <v>16</v>
      </c>
      <c r="E47">
        <f t="shared" si="4"/>
        <v>4.0137264480778958</v>
      </c>
      <c r="F47">
        <f t="shared" si="7"/>
        <v>0.3</v>
      </c>
      <c r="G47" s="13">
        <v>16.2</v>
      </c>
    </row>
    <row r="48" spans="2:9">
      <c r="B48">
        <f t="shared" si="5"/>
        <v>3.9846580781793559</v>
      </c>
      <c r="C48">
        <f t="shared" si="6"/>
        <v>0.35</v>
      </c>
      <c r="D48">
        <v>16</v>
      </c>
      <c r="E48">
        <f t="shared" si="4"/>
        <v>4.0096757973681614</v>
      </c>
      <c r="F48">
        <f t="shared" si="7"/>
        <v>0.35</v>
      </c>
      <c r="G48" s="13">
        <v>16.2</v>
      </c>
    </row>
    <row r="49" spans="2:7">
      <c r="B49">
        <f t="shared" si="5"/>
        <v>3.9799497484264799</v>
      </c>
      <c r="C49">
        <f t="shared" si="6"/>
        <v>0.39999999999999997</v>
      </c>
      <c r="D49">
        <v>16</v>
      </c>
      <c r="E49">
        <f t="shared" si="4"/>
        <v>4.0049968789001573</v>
      </c>
      <c r="F49">
        <f t="shared" si="7"/>
        <v>0.39999999999999997</v>
      </c>
      <c r="G49" s="13">
        <v>16.2</v>
      </c>
    </row>
    <row r="50" spans="2:7">
      <c r="B50">
        <f t="shared" si="5"/>
        <v>3.97460689880144</v>
      </c>
      <c r="C50">
        <f t="shared" si="6"/>
        <v>0.44999999999999996</v>
      </c>
      <c r="D50">
        <v>16</v>
      </c>
      <c r="E50">
        <f t="shared" si="4"/>
        <v>3.999687487792015</v>
      </c>
      <c r="F50">
        <f t="shared" si="7"/>
        <v>0.44999999999999996</v>
      </c>
      <c r="G50" s="13">
        <v>16.2</v>
      </c>
    </row>
    <row r="51" spans="2:7">
      <c r="B51">
        <f t="shared" si="5"/>
        <v>3.9686269665968861</v>
      </c>
      <c r="C51">
        <f t="shared" si="6"/>
        <v>0.49999999999999994</v>
      </c>
      <c r="D51">
        <v>16</v>
      </c>
      <c r="E51">
        <f t="shared" si="4"/>
        <v>3.9937451095431715</v>
      </c>
      <c r="F51">
        <f t="shared" si="7"/>
        <v>0.49999999999999994</v>
      </c>
      <c r="G51" s="13">
        <v>16.2</v>
      </c>
    </row>
    <row r="52" spans="2:7">
      <c r="B52">
        <f t="shared" si="5"/>
        <v>3.9620070671315064</v>
      </c>
      <c r="C52">
        <f t="shared" si="6"/>
        <v>0.54999999999999993</v>
      </c>
      <c r="D52">
        <v>16</v>
      </c>
      <c r="E52">
        <f t="shared" si="4"/>
        <v>3.9871669139879256</v>
      </c>
      <c r="F52">
        <f t="shared" si="7"/>
        <v>0.54999999999999993</v>
      </c>
      <c r="G52" s="13">
        <v>16.2</v>
      </c>
    </row>
    <row r="53" spans="2:7">
      <c r="B53">
        <f t="shared" si="5"/>
        <v>3.954743986657038</v>
      </c>
      <c r="C53">
        <f t="shared" si="6"/>
        <v>0.6</v>
      </c>
      <c r="D53">
        <v>16</v>
      </c>
      <c r="E53">
        <f t="shared" si="4"/>
        <v>3.9799497484264799</v>
      </c>
      <c r="F53">
        <f t="shared" si="7"/>
        <v>0.6</v>
      </c>
      <c r="G53" s="13">
        <v>16.2</v>
      </c>
    </row>
    <row r="54" spans="2:7">
      <c r="B54">
        <f t="shared" si="5"/>
        <v>3.9468341743731772</v>
      </c>
      <c r="C54">
        <f t="shared" si="6"/>
        <v>0.65</v>
      </c>
      <c r="D54">
        <v>16</v>
      </c>
      <c r="E54">
        <f t="shared" si="4"/>
        <v>3.9720901298938323</v>
      </c>
      <c r="F54">
        <f t="shared" si="7"/>
        <v>0.65</v>
      </c>
      <c r="G54" s="13">
        <v>16.2</v>
      </c>
    </row>
    <row r="55" spans="2:7">
      <c r="B55">
        <f t="shared" si="5"/>
        <v>3.9382737335030433</v>
      </c>
      <c r="C55">
        <f t="shared" si="6"/>
        <v>0.70000000000000007</v>
      </c>
      <c r="D55">
        <v>16</v>
      </c>
      <c r="E55">
        <f t="shared" si="4"/>
        <v>3.9635842365212826</v>
      </c>
      <c r="F55">
        <f t="shared" si="7"/>
        <v>0.70000000000000007</v>
      </c>
      <c r="G55" s="13">
        <v>16.2</v>
      </c>
    </row>
    <row r="56" spans="2:7">
      <c r="B56">
        <f t="shared" si="5"/>
        <v>3.9290584113754279</v>
      </c>
      <c r="C56">
        <f t="shared" si="6"/>
        <v>0.75000000000000011</v>
      </c>
      <c r="D56">
        <v>16</v>
      </c>
      <c r="E56">
        <f t="shared" si="4"/>
        <v>3.9544278979392202</v>
      </c>
      <c r="F56">
        <f t="shared" si="7"/>
        <v>0.75000000000000011</v>
      </c>
      <c r="G56" s="13">
        <v>16.2</v>
      </c>
    </row>
    <row r="57" spans="2:7">
      <c r="B57">
        <f t="shared" si="5"/>
        <v>3.9191835884530848</v>
      </c>
      <c r="C57">
        <f t="shared" si="6"/>
        <v>0.80000000000000016</v>
      </c>
      <c r="D57">
        <v>16</v>
      </c>
      <c r="E57">
        <f t="shared" si="4"/>
        <v>3.944616584663204</v>
      </c>
      <c r="F57">
        <f t="shared" si="7"/>
        <v>0.80000000000000016</v>
      </c>
      <c r="G57" s="13">
        <v>16.2</v>
      </c>
    </row>
    <row r="58" spans="2:7">
      <c r="B58">
        <f t="shared" si="5"/>
        <v>3.9086442662386149</v>
      </c>
      <c r="C58">
        <f t="shared" si="6"/>
        <v>0.8500000000000002</v>
      </c>
      <c r="D58">
        <v>16</v>
      </c>
      <c r="E58">
        <f t="shared" si="4"/>
        <v>3.9341453963980535</v>
      </c>
      <c r="F58">
        <f t="shared" si="7"/>
        <v>0.8500000000000002</v>
      </c>
      <c r="G58" s="13">
        <v>16.2</v>
      </c>
    </row>
    <row r="59" spans="2:7">
      <c r="B59">
        <f t="shared" si="5"/>
        <v>3.8974350539810154</v>
      </c>
      <c r="C59">
        <f t="shared" si="6"/>
        <v>0.90000000000000024</v>
      </c>
      <c r="D59">
        <v>16</v>
      </c>
      <c r="E59">
        <f t="shared" si="4"/>
        <v>3.9230090491866059</v>
      </c>
      <c r="F59">
        <f t="shared" si="7"/>
        <v>0.90000000000000024</v>
      </c>
      <c r="G59" s="13">
        <v>16.2</v>
      </c>
    </row>
    <row r="60" spans="2:7">
      <c r="B60">
        <f t="shared" si="5"/>
        <v>3.8855501540965856</v>
      </c>
      <c r="C60">
        <f t="shared" si="6"/>
        <v>0.95000000000000029</v>
      </c>
      <c r="D60">
        <v>16</v>
      </c>
      <c r="E60">
        <f t="shared" si="4"/>
        <v>3.9112018613208908</v>
      </c>
      <c r="F60">
        <f t="shared" si="7"/>
        <v>0.95000000000000029</v>
      </c>
      <c r="G60" s="13">
        <v>16.2</v>
      </c>
    </row>
    <row r="61" spans="2:7">
      <c r="B61">
        <f t="shared" si="5"/>
        <v>3.872983346207417</v>
      </c>
      <c r="C61">
        <f t="shared" si="6"/>
        <v>1.0000000000000002</v>
      </c>
      <c r="D61">
        <v>16</v>
      </c>
      <c r="E61">
        <f t="shared" si="4"/>
        <v>3.8987177379235853</v>
      </c>
      <c r="F61">
        <f t="shared" si="7"/>
        <v>1.0000000000000002</v>
      </c>
      <c r="G61" s="13">
        <v>16.2</v>
      </c>
    </row>
    <row r="62" spans="2:7">
      <c r="B62">
        <f t="shared" si="5"/>
        <v>3.8597279696890556</v>
      </c>
      <c r="C62">
        <f t="shared" si="6"/>
        <v>1.0500000000000003</v>
      </c>
      <c r="D62">
        <v>16</v>
      </c>
      <c r="E62">
        <f t="shared" si="4"/>
        <v>3.8855501540965856</v>
      </c>
      <c r="F62">
        <f t="shared" si="7"/>
        <v>1.0500000000000003</v>
      </c>
      <c r="G62" s="13">
        <v>16.2</v>
      </c>
    </row>
    <row r="63" spans="2:7">
      <c r="B63">
        <f t="shared" si="5"/>
        <v>3.8457769046058821</v>
      </c>
      <c r="C63">
        <f t="shared" si="6"/>
        <v>1.1000000000000003</v>
      </c>
      <c r="D63">
        <v>16</v>
      </c>
      <c r="E63">
        <f t="shared" si="4"/>
        <v>3.8716921365211876</v>
      </c>
      <c r="F63">
        <f t="shared" si="7"/>
        <v>1.1000000000000003</v>
      </c>
      <c r="G63" s="13">
        <v>16.2</v>
      </c>
    </row>
    <row r="64" spans="2:7">
      <c r="B64">
        <f t="shared" si="5"/>
        <v>3.8311225508981046</v>
      </c>
      <c r="C64">
        <f t="shared" si="6"/>
        <v>1.1500000000000004</v>
      </c>
      <c r="D64">
        <v>16</v>
      </c>
      <c r="E64">
        <f t="shared" si="4"/>
        <v>3.8571362433805727</v>
      </c>
      <c r="F64">
        <f t="shared" si="7"/>
        <v>1.1500000000000004</v>
      </c>
      <c r="G64" s="13">
        <v>16.2</v>
      </c>
    </row>
    <row r="65" spans="2:7">
      <c r="B65">
        <f t="shared" si="5"/>
        <v>3.8157568056677826</v>
      </c>
      <c r="C65">
        <f t="shared" si="6"/>
        <v>1.2000000000000004</v>
      </c>
      <c r="D65">
        <v>16</v>
      </c>
      <c r="E65">
        <f t="shared" si="4"/>
        <v>3.8418745424597089</v>
      </c>
      <c r="F65">
        <f t="shared" si="7"/>
        <v>1.2000000000000004</v>
      </c>
      <c r="G65" s="13">
        <v>16.2</v>
      </c>
    </row>
    <row r="66" spans="2:7">
      <c r="B66">
        <f t="shared" si="5"/>
        <v>3.7996710383926655</v>
      </c>
      <c r="C66">
        <f t="shared" si="6"/>
        <v>1.2500000000000004</v>
      </c>
      <c r="D66">
        <v>16</v>
      </c>
      <c r="E66">
        <f t="shared" si="4"/>
        <v>3.8258985872602529</v>
      </c>
      <c r="F66">
        <f t="shared" si="7"/>
        <v>1.2500000000000004</v>
      </c>
      <c r="G66" s="13">
        <v>16.2</v>
      </c>
    </row>
    <row r="67" spans="2:7">
      <c r="B67">
        <f t="shared" si="5"/>
        <v>3.7828560638755473</v>
      </c>
      <c r="C67">
        <f t="shared" si="6"/>
        <v>1.3000000000000005</v>
      </c>
      <c r="D67">
        <v>16</v>
      </c>
      <c r="E67">
        <f t="shared" si="4"/>
        <v>3.8091993909481818</v>
      </c>
      <c r="F67">
        <f t="shared" si="7"/>
        <v>1.3000000000000005</v>
      </c>
      <c r="G67" s="13">
        <v>16.2</v>
      </c>
    </row>
    <row r="68" spans="2:7">
      <c r="B68">
        <f t="shared" si="5"/>
        <v>3.7653021127128694</v>
      </c>
      <c r="C68">
        <f t="shared" si="6"/>
        <v>1.3500000000000005</v>
      </c>
      <c r="D68">
        <v>16</v>
      </c>
      <c r="E68">
        <f t="shared" si="4"/>
        <v>3.7917673979293611</v>
      </c>
      <c r="F68">
        <f t="shared" si="7"/>
        <v>1.3500000000000005</v>
      </c>
      <c r="G68" s="13">
        <v>16.2</v>
      </c>
    </row>
    <row r="69" spans="2:7">
      <c r="B69">
        <f t="shared" si="5"/>
        <v>3.746998799039039</v>
      </c>
      <c r="C69">
        <f t="shared" si="6"/>
        <v>1.4000000000000006</v>
      </c>
      <c r="D69">
        <v>16</v>
      </c>
      <c r="E69">
        <f t="shared" si="4"/>
        <v>3.7735924528226414</v>
      </c>
      <c r="F69">
        <f t="shared" si="7"/>
        <v>1.4000000000000006</v>
      </c>
      <c r="G69" s="13">
        <v>16.2</v>
      </c>
    </row>
    <row r="70" spans="2:7">
      <c r="B70">
        <f t="shared" si="5"/>
        <v>3.7279350852717377</v>
      </c>
      <c r="C70">
        <f t="shared" si="6"/>
        <v>1.4500000000000006</v>
      </c>
      <c r="D70">
        <v>16</v>
      </c>
      <c r="E70">
        <f t="shared" si="4"/>
        <v>3.7546637665708493</v>
      </c>
      <c r="F70">
        <f t="shared" si="7"/>
        <v>1.4500000000000006</v>
      </c>
      <c r="G70" s="13">
        <v>16.2</v>
      </c>
    </row>
    <row r="71" spans="2:7">
      <c r="B71">
        <f t="shared" si="5"/>
        <v>3.708099243547831</v>
      </c>
      <c r="C71">
        <f t="shared" si="6"/>
        <v>1.5000000000000007</v>
      </c>
      <c r="D71">
        <v>16</v>
      </c>
      <c r="E71">
        <f t="shared" si="4"/>
        <v>3.7349698793966195</v>
      </c>
      <c r="F71">
        <f t="shared" si="7"/>
        <v>1.5000000000000007</v>
      </c>
      <c r="G71" s="13">
        <v>16.2</v>
      </c>
    </row>
    <row r="72" spans="2:7">
      <c r="B72">
        <f t="shared" si="5"/>
        <v>3.6874788134984584</v>
      </c>
      <c r="C72">
        <f t="shared" si="6"/>
        <v>1.5500000000000007</v>
      </c>
      <c r="D72">
        <v>16</v>
      </c>
      <c r="E72">
        <f t="shared" si="4"/>
        <v>3.7144986202716508</v>
      </c>
      <c r="F72">
        <f t="shared" si="7"/>
        <v>1.5500000000000007</v>
      </c>
      <c r="G72" s="13">
        <v>16.2</v>
      </c>
    </row>
    <row r="73" spans="2:7">
      <c r="B73">
        <f t="shared" si="5"/>
        <v>3.6660605559646715</v>
      </c>
      <c r="C73">
        <f t="shared" si="6"/>
        <v>1.6000000000000008</v>
      </c>
      <c r="D73">
        <v>16</v>
      </c>
      <c r="E73">
        <f t="shared" si="4"/>
        <v>3.6932370625238771</v>
      </c>
      <c r="F73">
        <f t="shared" si="7"/>
        <v>1.6000000000000008</v>
      </c>
      <c r="G73" s="13">
        <v>16.2</v>
      </c>
    </row>
    <row r="74" spans="2:7">
      <c r="B74">
        <f t="shared" si="5"/>
        <v>3.6438304022004093</v>
      </c>
      <c r="C74">
        <f t="shared" si="6"/>
        <v>1.6500000000000008</v>
      </c>
      <c r="D74">
        <v>16</v>
      </c>
      <c r="E74">
        <f t="shared" si="4"/>
        <v>3.6711714751561244</v>
      </c>
      <c r="F74">
        <f t="shared" si="7"/>
        <v>1.6500000000000008</v>
      </c>
      <c r="G74" s="13">
        <v>16.2</v>
      </c>
    </row>
    <row r="75" spans="2:7">
      <c r="B75">
        <f t="shared" si="5"/>
        <v>3.6207733980463344</v>
      </c>
      <c r="C75">
        <f t="shared" si="6"/>
        <v>1.7000000000000008</v>
      </c>
      <c r="D75">
        <v>16</v>
      </c>
      <c r="E75">
        <f t="shared" si="4"/>
        <v>3.6482872693909396</v>
      </c>
      <c r="F75">
        <f t="shared" si="7"/>
        <v>1.7000000000000008</v>
      </c>
      <c r="G75" s="13">
        <v>16.2</v>
      </c>
    </row>
    <row r="76" spans="2:7">
      <c r="B76">
        <f t="shared" si="5"/>
        <v>3.5968736424845393</v>
      </c>
      <c r="C76">
        <f t="shared" si="6"/>
        <v>1.7500000000000009</v>
      </c>
      <c r="D76">
        <v>16</v>
      </c>
      <c r="E76">
        <f t="shared" si="4"/>
        <v>3.6245689398878862</v>
      </c>
      <c r="F76">
        <f t="shared" si="7"/>
        <v>1.7500000000000009</v>
      </c>
      <c r="G76" s="13">
        <v>16.2</v>
      </c>
    </row>
    <row r="77" spans="2:7">
      <c r="B77">
        <f t="shared" si="5"/>
        <v>3.5721142198983498</v>
      </c>
      <c r="C77">
        <f t="shared" si="6"/>
        <v>1.8000000000000009</v>
      </c>
      <c r="D77">
        <v>16</v>
      </c>
      <c r="E77">
        <f t="shared" si="4"/>
        <v>3.5999999999999992</v>
      </c>
      <c r="F77">
        <f t="shared" si="7"/>
        <v>1.8000000000000009</v>
      </c>
      <c r="G77" s="13">
        <v>16.2</v>
      </c>
    </row>
    <row r="78" spans="2:7">
      <c r="B78">
        <f t="shared" si="5"/>
        <v>3.5464771252610663</v>
      </c>
      <c r="C78">
        <f t="shared" si="6"/>
        <v>1.850000000000001</v>
      </c>
      <c r="D78">
        <v>16</v>
      </c>
      <c r="E78">
        <f t="shared" si="4"/>
        <v>3.5745629103430248</v>
      </c>
      <c r="F78">
        <f t="shared" si="7"/>
        <v>1.850000000000001</v>
      </c>
      <c r="G78" s="13">
        <v>16.2</v>
      </c>
    </row>
    <row r="79" spans="2:7">
      <c r="B79">
        <f t="shared" si="5"/>
        <v>3.5199431813596078</v>
      </c>
      <c r="C79">
        <f t="shared" si="6"/>
        <v>1.900000000000001</v>
      </c>
      <c r="D79">
        <v>16</v>
      </c>
      <c r="E79">
        <f t="shared" si="4"/>
        <v>3.5482389998420336</v>
      </c>
      <c r="F79">
        <f t="shared" si="7"/>
        <v>1.900000000000001</v>
      </c>
      <c r="G79" s="13">
        <v>16.2</v>
      </c>
    </row>
    <row r="81" spans="3:3">
      <c r="C81" t="s">
        <v>3</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1-Title Page</vt:lpstr>
      <vt:lpstr>2-Amendment Log</vt:lpstr>
      <vt:lpstr>3-Link Scenario Planner</vt:lpstr>
      <vt:lpstr>4A-Orbit</vt:lpstr>
      <vt:lpstr>4B-Earth Stations</vt:lpstr>
      <vt:lpstr>5-Frequency</vt:lpstr>
      <vt:lpstr>6-SC TX &amp; RX Set-Up</vt:lpstr>
      <vt:lpstr>7-User Terminal Set-Up</vt:lpstr>
      <vt:lpstr>8-Uplink Budget</vt:lpstr>
      <vt:lpstr>9-Downlink Budget</vt:lpstr>
      <vt:lpstr>10A-Uplink DVBS2 ModCOD</vt:lpstr>
      <vt:lpstr>10B-Downlink DVBS2(X) ModCOD</vt:lpstr>
      <vt:lpstr>11A-ITU P618-6 Uplink</vt:lpstr>
      <vt:lpstr>11B- ITU P618-6 Downlink</vt:lpstr>
      <vt:lpstr>12-RX-TX Link Results</vt:lpstr>
      <vt:lpstr>13-System Block Diagram</vt:lpstr>
      <vt:lpstr>14-Orbit Shape Data</vt:lpstr>
    </vt:vector>
  </TitlesOfParts>
  <Company>BlastOff!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jking</dc:creator>
  <cp:lastModifiedBy>Michelle Thompson</cp:lastModifiedBy>
  <dcterms:created xsi:type="dcterms:W3CDTF">2003-03-25T04:05:57Z</dcterms:created>
  <dcterms:modified xsi:type="dcterms:W3CDTF">2025-02-17T23:04:14Z</dcterms:modified>
</cp:coreProperties>
</file>